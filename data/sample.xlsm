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workbookPr/>
  <mc:AlternateContent xmlns:mc="http://schemas.openxmlformats.org/markup-compatibility/2006">
    <mc:Choice Requires="x15">
      <x15ac:absPath xmlns:x15ac="http://schemas.microsoft.com/office/spreadsheetml/2010/11/ac" url="C:\Users\enido\OneDrive\Desktop\demo1\browser-data-exporter\data\"/>
    </mc:Choice>
  </mc:AlternateContent>
  <xr:revisionPtr revIDLastSave="0" documentId="13_ncr:1_{DE7FF31B-D1C8-4C4D-8255-6BD964C8786D}" xr6:coauthVersionLast="47" xr6:coauthVersionMax="47" xr10:uidLastSave="{00000000-0000-0000-0000-000000000000}"/>
  <bookViews>
    <workbookView xWindow="2265" yWindow="720" windowWidth="34740" windowHeight="17190" xr2:uid="{00000000-000D-0000-FFFF-FFFF00000000}"/>
  </bookViews>
  <sheets>
    <sheet name="基础信息及资金占用（水泥）" sheetId="5" r:id="rId1"/>
    <sheet name="付款明细" sheetId="6" r:id="rId2"/>
    <sheet name="项目基础信息及资金占用" sheetId="2" state="hidden" r:id="rId3"/>
    <sheet name="基础信息及资金占用" sheetId="3" state="hidden" r:id="rId4"/>
    <sheet name="运费" sheetId="4" state="hidden"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6" i="3" l="1"/>
  <c r="H46" i="3"/>
  <c r="C46" i="3"/>
  <c r="M45" i="3"/>
  <c r="I45" i="3"/>
  <c r="G45" i="3"/>
  <c r="C45" i="3"/>
  <c r="C44" i="3"/>
  <c r="B44" i="3"/>
  <c r="K41" i="3"/>
  <c r="G38" i="3"/>
  <c r="G37" i="3"/>
  <c r="G36" i="3"/>
  <c r="G35" i="3"/>
  <c r="K34" i="3"/>
  <c r="J34" i="3"/>
  <c r="G34" i="3"/>
  <c r="K33" i="3"/>
  <c r="J33" i="3"/>
  <c r="G33" i="3"/>
  <c r="K32" i="3"/>
  <c r="J32" i="3"/>
  <c r="G32" i="3"/>
  <c r="K31" i="3"/>
  <c r="J31" i="3"/>
  <c r="G31" i="3"/>
  <c r="G30" i="3"/>
  <c r="G29" i="3"/>
  <c r="K28" i="3"/>
  <c r="J28" i="3"/>
  <c r="G28" i="3"/>
  <c r="K27" i="3"/>
  <c r="J27" i="3"/>
  <c r="G27" i="3"/>
  <c r="K26" i="3"/>
  <c r="J26" i="3"/>
  <c r="G26" i="3"/>
  <c r="G25" i="3"/>
  <c r="K24" i="3"/>
  <c r="J24" i="3"/>
  <c r="I24" i="3"/>
  <c r="G24" i="3"/>
  <c r="K23" i="3"/>
  <c r="J23" i="3"/>
  <c r="G23" i="3"/>
  <c r="K22" i="3"/>
  <c r="J22" i="3"/>
  <c r="I22" i="3"/>
  <c r="G22" i="3"/>
  <c r="K21" i="3"/>
  <c r="J21" i="3"/>
  <c r="G21" i="3"/>
  <c r="K20" i="3"/>
  <c r="J20" i="3"/>
  <c r="I20" i="3"/>
  <c r="G20" i="3"/>
  <c r="K19" i="3"/>
  <c r="J19" i="3"/>
  <c r="G19" i="3"/>
  <c r="I18" i="3"/>
  <c r="G18" i="3"/>
  <c r="K17" i="3"/>
  <c r="J17" i="3"/>
  <c r="I17" i="3"/>
  <c r="G17" i="3"/>
  <c r="K16" i="3"/>
  <c r="J16" i="3"/>
  <c r="G16" i="3"/>
  <c r="K15" i="3"/>
  <c r="J15" i="3"/>
  <c r="I15" i="3"/>
  <c r="G15" i="3"/>
  <c r="I14" i="3"/>
  <c r="G14" i="3"/>
  <c r="G13" i="3"/>
  <c r="K12" i="3"/>
  <c r="J12" i="3"/>
  <c r="I12" i="3"/>
  <c r="G12" i="3"/>
  <c r="G11" i="3"/>
  <c r="K10" i="3"/>
  <c r="J10" i="3"/>
  <c r="G10" i="3"/>
  <c r="K9" i="3"/>
  <c r="J9" i="3"/>
  <c r="G9" i="3"/>
  <c r="G4" i="3"/>
  <c r="K33" i="2"/>
  <c r="G33" i="2"/>
  <c r="C33" i="2"/>
  <c r="G32" i="2"/>
  <c r="C32" i="2"/>
  <c r="C31" i="2"/>
  <c r="B31" i="2"/>
</calcChain>
</file>

<file path=xl/sharedStrings.xml><?xml version="1.0" encoding="utf-8"?>
<sst xmlns="http://schemas.openxmlformats.org/spreadsheetml/2006/main" count="125" uniqueCount="82">
  <si>
    <t>吨数</t>
  </si>
  <si>
    <t>物资种类</t>
  </si>
  <si>
    <t>水泥</t>
  </si>
  <si>
    <t>签订时间</t>
  </si>
  <si>
    <t>目前状态</t>
  </si>
  <si>
    <t>在供</t>
  </si>
  <si>
    <t>金额</t>
  </si>
  <si>
    <t>项目类型</t>
  </si>
  <si>
    <t>工程物流</t>
  </si>
  <si>
    <t>签订类型</t>
  </si>
  <si>
    <t>客商等级</t>
  </si>
  <si>
    <t>A</t>
  </si>
  <si>
    <t>执行比例</t>
  </si>
  <si>
    <t>履约保证金</t>
  </si>
  <si>
    <t>质保金周期</t>
  </si>
  <si>
    <t>上级单位</t>
  </si>
  <si>
    <t>合同编号</t>
  </si>
  <si>
    <t>结算方式</t>
  </si>
  <si>
    <t>付款条件</t>
  </si>
  <si>
    <t>结算周期</t>
  </si>
  <si>
    <t>发票金额</t>
  </si>
  <si>
    <t>发票日期</t>
  </si>
  <si>
    <t>应付款项明细</t>
  </si>
  <si>
    <t>应付款日期</t>
  </si>
  <si>
    <t>应付款金额</t>
  </si>
  <si>
    <t>付款计息日期</t>
  </si>
  <si>
    <t>实际付款金额</t>
  </si>
  <si>
    <t>逾期时间（天）</t>
  </si>
  <si>
    <r>
      <rPr>
        <b/>
        <sz val="10"/>
        <rFont val="宋体"/>
        <charset val="134"/>
      </rPr>
      <t>逾期资金费用（按年息4</t>
    </r>
    <r>
      <rPr>
        <b/>
        <sz val="10"/>
        <rFont val="宋体"/>
        <charset val="134"/>
      </rPr>
      <t>.35</t>
    </r>
    <r>
      <rPr>
        <b/>
        <sz val="10"/>
        <rFont val="宋体"/>
        <charset val="134"/>
      </rPr>
      <t>%收取）</t>
    </r>
  </si>
  <si>
    <t>备注</t>
  </si>
  <si>
    <t>合计供应</t>
  </si>
  <si>
    <t>目前应收账款金额</t>
  </si>
  <si>
    <t>已开票金额</t>
  </si>
  <si>
    <t>回款比例</t>
  </si>
  <si>
    <t>付款金额（万元）</t>
  </si>
  <si>
    <t>付款方式</t>
  </si>
  <si>
    <t>付款时间</t>
  </si>
  <si>
    <t>电汇</t>
  </si>
  <si>
    <t>中铁十一局四公司包银项目水泥合同</t>
  </si>
  <si>
    <t>中铁十一局四公司包银项目水泥合同情况</t>
  </si>
  <si>
    <t>投标中标</t>
  </si>
  <si>
    <t>合同履约完毕</t>
  </si>
  <si>
    <t>中铁十一局四公司</t>
  </si>
  <si>
    <t>开票金额</t>
  </si>
  <si>
    <t>发票号码</t>
  </si>
  <si>
    <t>开票时间</t>
  </si>
  <si>
    <t>回款明细</t>
  </si>
  <si>
    <t>回款金额</t>
  </si>
  <si>
    <t>回款日期</t>
  </si>
  <si>
    <t>应付款时间</t>
  </si>
  <si>
    <t>逾期资金费用在（卖方同意给予三个月的宽限期，宽限期满仍未支付的，自宽限期满次日起按银行同期活期存款利率计算逾期利息。）</t>
  </si>
  <si>
    <t xml:space="preserve">
中建西部建设山西有限公司水泥销售合同</t>
  </si>
  <si>
    <t>中建西部建设山西有限公司水泥销售合同情况</t>
  </si>
  <si>
    <t>2022.2.16</t>
  </si>
  <si>
    <t>中建商品混凝土有限公司</t>
  </si>
  <si>
    <t>ZTDB-GCWL-XS-SN-2021-879</t>
  </si>
  <si>
    <t>按月度结算，买卖双方每月16日至18日依据所供货物进行数量、单价、金额进行确认，办理上月16日至当月15日物资采购结算单。卖方在接收到买方办理结算通知后，应积极配合买方共同完成结算手续的办理，否则视为卖方无条件认可买方单方面确认的结算金额。结算应于每月20日前办理完毕，逾期未办理完毕的计入下一结算周期办理。买卖双方每季度需以询证函的方式对所发生的的债权债务予以确认。（2）买方指定（姓名：贾永强身份证号：142232199111077496联系方式：18235140124）或（姓名：范勇身份证号：14012219910421013X联系方式：13643471986）或（姓名：苏航身份证号：140428199508110850联系方式：18603458126），卖方指定（姓名：刘雨欣身份证号：210104198602230919联系方式：13889308868）作为双方的结算代表，结算单必须经由结算代表签认并在物资采购结算单加盖公章或经授权认可的印章，卖方提供的送货单、提货单、随货同行单等均不作为结算依据。</t>
  </si>
  <si>
    <t>货款采取包括但不限于银行承兑、电汇、保理等方式支付，当月结算办理完后，买方第四个月支付卖方第一个月结算货款的95%，依次类推，买方支付上述款项前，卖方必须提供相应金额对应部分的完税凭证。每月货款的5%作为履约保证金，详见（五）担保条款。如卖方中途停止供货，剩余货款保留300万元（若尾款不足300万元则参照300万元执行），自停止供货之日起一年内付清，超过300万元的部分按合同节点正常支付。</t>
  </si>
  <si>
    <t>补7月份差价</t>
  </si>
  <si>
    <t>运费</t>
  </si>
  <si>
    <t>冀东</t>
  </si>
  <si>
    <t>吉港</t>
  </si>
  <si>
    <t>5月</t>
  </si>
  <si>
    <t>57831.9（1652.34吨）</t>
  </si>
  <si>
    <t>票据</t>
  </si>
  <si>
    <t>6月</t>
  </si>
  <si>
    <t>309472.5（8760.28吨）</t>
  </si>
  <si>
    <t>20155.8（671.86吨）</t>
  </si>
  <si>
    <t>合同名称：</t>
  </si>
  <si>
    <t>业务板块</t>
  </si>
  <si>
    <t>工程项目</t>
  </si>
  <si>
    <t>交货地址</t>
  </si>
  <si>
    <t>创建人</t>
  </si>
  <si>
    <t>支付条款</t>
  </si>
  <si>
    <t>开票单位</t>
  </si>
  <si>
    <t>标的物信息</t>
  </si>
  <si>
    <t>合同摘要</t>
  </si>
  <si>
    <t>履约状况</t>
  </si>
  <si>
    <t>已发货</t>
  </si>
  <si>
    <t>已开票</t>
  </si>
  <si>
    <t>总回款</t>
  </si>
  <si>
    <t>回款率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</si>
</sst>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quot;￥&quot;* #,##0_ ;_ &quot;￥&quot;* \-#,##0_ ;_ &quot;￥&quot;* &quot;-&quot;_ ;_ @_ "/>
    <numFmt numFmtId="166" formatCode="_ \¥* #,##0.00_ ;_ \¥* \-#,##0.00_ ;_ \¥* &quot;-&quot;??_ ;_ @_ "/>
    <numFmt numFmtId="167" formatCode="_-* #,##0_-;\-* #,##0_-;_-* &quot;-&quot;_-;_-@_-"/>
    <numFmt numFmtId="168" formatCode="_ [$€-2]* #,##0.00_ ;_ [$€-2]* \-#,##0.00_ ;_ [$€-2]* &quot;-&quot;??_ "/>
    <numFmt numFmtId="169" formatCode="_ [$¥-804]* #,##0.00_ ;_ [$¥-804]* \-#,##0.00_ ;_ [$¥-804]* &quot;-&quot;??_ ;_ @_ "/>
    <numFmt numFmtId="170" formatCode="\¥#,##0.00_);[Red]\(\¥#,##0.00\)"/>
    <numFmt numFmtId="171" formatCode="[$-F800]dddd\,\ mmmm\ dd\,\ yyyy"/>
    <numFmt numFmtId="172" formatCode="yyyy&quot;年&quot;m&quot;月&quot;d&quot;日&quot;;@"/>
    <numFmt numFmtId="173" formatCode="0_ "/>
    <numFmt numFmtId="174" formatCode="0.00_);[Red]\(0.00\)"/>
    <numFmt numFmtId="175" formatCode="0.000_ "/>
    <numFmt numFmtId="176" formatCode="&quot;￥&quot;#,##0.00_);[Red]\(&quot;￥&quot;#,##0.00\)"/>
    <numFmt numFmtId="177" formatCode="yyyy/m/d;@"/>
    <numFmt numFmtId="178" formatCode="0.00_ "/>
  </numFmts>
  <fonts count="50">
    <font>
      <sz val="11"/>
      <color theme="1"/>
      <name val="宋体"/>
      <charset val="134"/>
      <scheme val="minor"/>
    </font>
    <font>
      <sz val="12"/>
      <name val="宋体"/>
      <charset val="134"/>
    </font>
    <font>
      <b/>
      <sz val="22"/>
      <color indexed="8"/>
      <name val="宋体"/>
      <charset val="134"/>
    </font>
    <font>
      <b/>
      <sz val="14"/>
      <name val="宋体"/>
      <charset val="134"/>
    </font>
    <font>
      <b/>
      <sz val="11"/>
      <color theme="1"/>
      <name val="宋体"/>
      <charset val="134"/>
      <scheme val="minor"/>
    </font>
    <font>
      <sz val="11"/>
      <name val="宋体"/>
      <charset val="134"/>
    </font>
    <font>
      <sz val="10"/>
      <name val="宋体"/>
      <charset val="134"/>
    </font>
    <font>
      <b/>
      <sz val="10"/>
      <color indexed="8"/>
      <name val="宋体"/>
      <charset val="134"/>
    </font>
    <font>
      <b/>
      <sz val="10"/>
      <name val="宋体"/>
      <charset val="134"/>
    </font>
    <font>
      <sz val="10"/>
      <color indexed="8"/>
      <name val="宋体"/>
      <charset val="134"/>
    </font>
    <font>
      <sz val="10"/>
      <color theme="1"/>
      <name val="宋体"/>
      <charset val="134"/>
      <scheme val="minor"/>
    </font>
    <font>
      <b/>
      <sz val="18"/>
      <name val="宋体"/>
      <charset val="134"/>
    </font>
    <font>
      <b/>
      <sz val="11"/>
      <name val="宋体"/>
      <charset val="134"/>
    </font>
    <font>
      <b/>
      <sz val="15"/>
      <color theme="3"/>
      <name val="宋体"/>
      <charset val="134"/>
      <scheme val="minor"/>
    </font>
    <font>
      <b/>
      <sz val="13"/>
      <color theme="3"/>
      <name val="宋体"/>
      <charset val="134"/>
      <scheme val="minor"/>
    </font>
    <font>
      <b/>
      <sz val="11"/>
      <color theme="3"/>
      <name val="宋体"/>
      <charset val="134"/>
      <scheme val="minor"/>
    </font>
    <font>
      <sz val="11"/>
      <color indexed="8"/>
      <name val="宋体"/>
      <charset val="134"/>
    </font>
    <font>
      <sz val="11"/>
      <color indexed="9"/>
      <name val="宋体"/>
      <charset val="134"/>
    </font>
    <font>
      <b/>
      <sz val="11"/>
      <color indexed="63"/>
      <name val="宋体"/>
      <charset val="134"/>
    </font>
    <font>
      <b/>
      <sz val="11"/>
      <color indexed="52"/>
      <name val="宋体"/>
      <charset val="134"/>
    </font>
    <font>
      <b/>
      <sz val="11"/>
      <color indexed="8"/>
      <name val="宋体"/>
      <charset val="134"/>
    </font>
    <font>
      <b/>
      <sz val="15"/>
      <color indexed="56"/>
      <name val="宋体"/>
      <charset val="134"/>
    </font>
    <font>
      <b/>
      <sz val="18"/>
      <color indexed="56"/>
      <name val="宋体"/>
      <charset val="134"/>
    </font>
    <font>
      <sz val="11"/>
      <color theme="0"/>
      <name val="宋体"/>
      <charset val="134"/>
      <scheme val="minor"/>
    </font>
    <font>
      <sz val="11"/>
      <color indexed="62"/>
      <name val="宋体"/>
      <charset val="134"/>
    </font>
    <font>
      <sz val="11"/>
      <color indexed="60"/>
      <name val="宋体"/>
      <charset val="134"/>
    </font>
    <font>
      <i/>
      <sz val="11"/>
      <color indexed="23"/>
      <name val="宋体"/>
      <charset val="134"/>
    </font>
    <font>
      <b/>
      <sz val="11"/>
      <color indexed="56"/>
      <name val="宋体"/>
      <charset val="134"/>
    </font>
    <font>
      <sz val="11"/>
      <color indexed="52"/>
      <name val="宋体"/>
      <charset val="134"/>
    </font>
    <font>
      <b/>
      <sz val="11"/>
      <color indexed="9"/>
      <name val="宋体"/>
      <charset val="134"/>
    </font>
    <font>
      <sz val="11"/>
      <color indexed="20"/>
      <name val="宋体"/>
      <charset val="134"/>
    </font>
    <font>
      <sz val="11"/>
      <color indexed="17"/>
      <name val="宋体"/>
      <charset val="134"/>
    </font>
    <font>
      <b/>
      <sz val="11"/>
      <color rgb="FFFA7D00"/>
      <name val="宋体"/>
      <charset val="134"/>
      <scheme val="minor"/>
    </font>
    <font>
      <sz val="12"/>
      <name val="宋体"/>
      <charset val="134"/>
      <scheme val="minor"/>
    </font>
    <font>
      <b/>
      <sz val="13"/>
      <color indexed="56"/>
      <name val="宋体"/>
      <charset val="134"/>
    </font>
    <font>
      <sz val="11"/>
      <color theme="1"/>
      <name val="Tahoma"/>
      <charset val="134"/>
    </font>
    <font>
      <sz val="11"/>
      <color indexed="10"/>
      <name val="宋体"/>
      <charset val="134"/>
    </font>
    <font>
      <sz val="11"/>
      <color rgb="FF9C6500"/>
      <name val="宋体"/>
      <charset val="134"/>
      <scheme val="minor"/>
    </font>
    <font>
      <b/>
      <sz val="11"/>
      <color theme="0"/>
      <name val="宋体"/>
      <charset val="134"/>
      <scheme val="minor"/>
    </font>
    <font>
      <b/>
      <sz val="18"/>
      <color theme="3"/>
      <name val="宋体"/>
      <charset val="134"/>
      <scheme val="major"/>
    </font>
    <font>
      <sz val="10"/>
      <name val="Arial"/>
      <charset val="134"/>
    </font>
    <font>
      <sz val="11"/>
      <color rgb="FFFF0000"/>
      <name val="宋体"/>
      <charset val="134"/>
      <scheme val="minor"/>
    </font>
    <font>
      <sz val="11"/>
      <color rgb="FFFA7D00"/>
      <name val="宋体"/>
      <charset val="134"/>
      <scheme val="minor"/>
    </font>
    <font>
      <b/>
      <sz val="11"/>
      <color rgb="FF3F3F3F"/>
      <name val="宋体"/>
      <charset val="134"/>
      <scheme val="minor"/>
    </font>
    <font>
      <sz val="11"/>
      <color rgb="FF006100"/>
      <name val="宋体"/>
      <charset val="134"/>
      <scheme val="minor"/>
    </font>
    <font>
      <sz val="11"/>
      <color rgb="FF9C0006"/>
      <name val="宋体"/>
      <charset val="134"/>
      <scheme val="minor"/>
    </font>
    <font>
      <i/>
      <sz val="11"/>
      <color rgb="FF7F7F7F"/>
      <name val="宋体"/>
      <charset val="134"/>
      <scheme val="minor"/>
    </font>
    <font>
      <sz val="11"/>
      <color rgb="FF3F3F76"/>
      <name val="宋体"/>
      <charset val="134"/>
      <scheme val="minor"/>
    </font>
    <font>
      <u/>
      <sz val="11"/>
      <color rgb="FF0000FF"/>
      <name val="宋体"/>
      <charset val="134"/>
      <scheme val="minor"/>
    </font>
    <font>
      <sz val="11"/>
      <color theme="1"/>
      <name val="宋体"/>
      <charset val="134"/>
      <scheme val="minor"/>
    </font>
  </fonts>
  <fills count="106">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5117038483843"/>
        <bgColor indexed="64"/>
      </patternFill>
    </fill>
    <fill>
      <patternFill patternType="solid">
        <fgColor theme="4" tint="0.59999389629810485"/>
        <bgColor indexed="64"/>
      </patternFill>
    </fill>
    <fill>
      <patternFill patternType="solid">
        <fgColor theme="4" tint="0.39994506668294322"/>
        <bgColor indexed="64"/>
      </patternFill>
    </fill>
    <fill>
      <patternFill patternType="solid">
        <fgColor theme="5"/>
        <bgColor indexed="64"/>
      </patternFill>
    </fill>
    <fill>
      <patternFill patternType="solid">
        <fgColor theme="5" tint="0.79995117038483843"/>
        <bgColor indexed="64"/>
      </patternFill>
    </fill>
    <fill>
      <patternFill patternType="solid">
        <fgColor theme="5" tint="0.59999389629810485"/>
        <bgColor indexed="64"/>
      </patternFill>
    </fill>
    <fill>
      <patternFill patternType="solid">
        <fgColor theme="5" tint="0.39994506668294322"/>
        <bgColor indexed="64"/>
      </patternFill>
    </fill>
    <fill>
      <patternFill patternType="solid">
        <fgColor theme="6"/>
        <bgColor indexed="64"/>
      </patternFill>
    </fill>
    <fill>
      <patternFill patternType="solid">
        <fgColor theme="6" tint="0.79995117038483843"/>
        <bgColor indexed="64"/>
      </patternFill>
    </fill>
    <fill>
      <patternFill patternType="solid">
        <fgColor theme="6" tint="0.59999389629810485"/>
        <bgColor indexed="64"/>
      </patternFill>
    </fill>
    <fill>
      <patternFill patternType="solid">
        <fgColor theme="6" tint="0.39994506668294322"/>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59999389629810485"/>
        <bgColor indexed="64"/>
      </patternFill>
    </fill>
    <fill>
      <patternFill patternType="solid">
        <fgColor theme="7" tint="0.39994506668294322"/>
        <bgColor indexed="64"/>
      </patternFill>
    </fill>
    <fill>
      <patternFill patternType="solid">
        <fgColor theme="8"/>
        <bgColor indexed="64"/>
      </patternFill>
    </fill>
    <fill>
      <patternFill patternType="solid">
        <fgColor theme="8" tint="0.79995117038483843"/>
        <bgColor indexed="64"/>
      </patternFill>
    </fill>
    <fill>
      <patternFill patternType="solid">
        <fgColor theme="8" tint="0.59999389629810485"/>
        <bgColor indexed="64"/>
      </patternFill>
    </fill>
    <fill>
      <patternFill patternType="solid">
        <fgColor theme="8" tint="0.39994506668294322"/>
        <bgColor indexed="64"/>
      </patternFill>
    </fill>
    <fill>
      <patternFill patternType="solid">
        <fgColor theme="9"/>
        <bgColor indexed="64"/>
      </patternFill>
    </fill>
    <fill>
      <patternFill patternType="solid">
        <fgColor theme="9" tint="0.7999511703848384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indexed="11"/>
        <bgColor indexed="64"/>
      </patternFill>
    </fill>
    <fill>
      <patternFill patternType="solid">
        <fgColor indexed="29"/>
        <bgColor indexed="64"/>
      </patternFill>
    </fill>
    <fill>
      <patternFill patternType="solid">
        <fgColor indexed="30"/>
        <bgColor indexed="64"/>
      </patternFill>
    </fill>
    <fill>
      <patternFill patternType="solid">
        <fgColor indexed="47"/>
        <bgColor indexed="64"/>
      </patternFill>
    </fill>
    <fill>
      <patternFill patternType="solid">
        <fgColor indexed="22"/>
        <bgColor indexed="64"/>
      </patternFill>
    </fill>
    <fill>
      <patternFill patternType="solid">
        <fgColor indexed="26"/>
        <bgColor indexed="64"/>
      </patternFill>
    </fill>
    <fill>
      <patternFill patternType="solid">
        <fgColor indexed="46"/>
        <bgColor indexed="64"/>
      </patternFill>
    </fill>
    <fill>
      <patternFill patternType="solid">
        <fgColor indexed="44"/>
        <bgColor indexed="64"/>
      </patternFill>
    </fill>
    <fill>
      <patternFill patternType="solid">
        <fgColor indexed="31"/>
        <bgColor indexed="64"/>
      </patternFill>
    </fill>
    <fill>
      <patternFill patternType="solid">
        <fgColor theme="6" tint="0.79985961485641044"/>
        <bgColor indexed="64"/>
      </patternFill>
    </fill>
    <fill>
      <patternFill patternType="solid">
        <fgColor theme="4" tint="0.79989013336588644"/>
        <bgColor indexed="64"/>
      </patternFill>
    </fill>
    <fill>
      <patternFill patternType="solid">
        <fgColor indexed="51"/>
        <bgColor indexed="64"/>
      </patternFill>
    </fill>
    <fill>
      <patternFill patternType="solid">
        <fgColor indexed="43"/>
        <bgColor indexed="64"/>
      </patternFill>
    </fill>
    <fill>
      <patternFill patternType="solid">
        <fgColor indexed="45"/>
        <bgColor indexed="64"/>
      </patternFill>
    </fill>
    <fill>
      <patternFill patternType="solid">
        <fgColor theme="4" tint="0.79982909634693444"/>
        <bgColor indexed="64"/>
      </patternFill>
    </fill>
    <fill>
      <patternFill patternType="solid">
        <fgColor theme="8" tint="0.79989013336588644"/>
        <bgColor indexed="64"/>
      </patternFill>
    </fill>
    <fill>
      <patternFill patternType="solid">
        <fgColor theme="7" tint="0.79992065187536243"/>
        <bgColor indexed="64"/>
      </patternFill>
    </fill>
    <fill>
      <patternFill patternType="solid">
        <fgColor indexed="10"/>
        <bgColor indexed="64"/>
      </patternFill>
    </fill>
    <fill>
      <patternFill patternType="solid">
        <fgColor theme="9" tint="0.79992065187536243"/>
        <bgColor indexed="64"/>
      </patternFill>
    </fill>
    <fill>
      <patternFill patternType="solid">
        <fgColor theme="8" tint="0.79992065187536243"/>
        <bgColor indexed="64"/>
      </patternFill>
    </fill>
    <fill>
      <patternFill patternType="solid">
        <fgColor theme="9" tint="0.79989013336588644"/>
        <bgColor indexed="64"/>
      </patternFill>
    </fill>
    <fill>
      <patternFill patternType="solid">
        <fgColor indexed="55"/>
        <bgColor indexed="64"/>
      </patternFill>
    </fill>
    <fill>
      <patternFill patternType="solid">
        <fgColor indexed="53"/>
        <bgColor indexed="64"/>
      </patternFill>
    </fill>
    <fill>
      <patternFill patternType="solid">
        <fgColor theme="9" tint="0.39985351115451523"/>
        <bgColor indexed="64"/>
      </patternFill>
    </fill>
    <fill>
      <patternFill patternType="solid">
        <fgColor theme="5" tint="0.79992065187536243"/>
        <bgColor indexed="64"/>
      </patternFill>
    </fill>
    <fill>
      <patternFill patternType="solid">
        <fgColor theme="4" tint="0.79992065187536243"/>
        <bgColor indexed="64"/>
      </patternFill>
    </fill>
    <fill>
      <patternFill patternType="solid">
        <fgColor indexed="49"/>
        <bgColor indexed="64"/>
      </patternFill>
    </fill>
    <fill>
      <patternFill patternType="solid">
        <fgColor indexed="42"/>
        <bgColor indexed="64"/>
      </patternFill>
    </fill>
    <fill>
      <patternFill patternType="solid">
        <fgColor indexed="27"/>
        <bgColor indexed="64"/>
      </patternFill>
    </fill>
    <fill>
      <patternFill patternType="solid">
        <fgColor theme="6" tint="0.79989013336588644"/>
        <bgColor indexed="64"/>
      </patternFill>
    </fill>
    <fill>
      <patternFill patternType="solid">
        <fgColor theme="7" tint="0.39982299264503923"/>
        <bgColor indexed="64"/>
      </patternFill>
    </fill>
    <fill>
      <patternFill patternType="solid">
        <fgColor theme="5" tint="0.39991454817346722"/>
        <bgColor indexed="64"/>
      </patternFill>
    </fill>
    <fill>
      <patternFill patternType="solid">
        <fgColor theme="5" tint="0.79989013336588644"/>
        <bgColor indexed="64"/>
      </patternFill>
    </fill>
    <fill>
      <patternFill patternType="solid">
        <fgColor theme="5" tint="0.39988402966399123"/>
        <bgColor indexed="64"/>
      </patternFill>
    </fill>
    <fill>
      <patternFill patternType="solid">
        <fgColor theme="8" tint="0.39985351115451523"/>
        <bgColor indexed="64"/>
      </patternFill>
    </fill>
    <fill>
      <patternFill patternType="solid">
        <fgColor theme="6" tint="0.39991454817346722"/>
        <bgColor indexed="64"/>
      </patternFill>
    </fill>
    <fill>
      <patternFill patternType="solid">
        <fgColor theme="7" tint="0.79985961485641044"/>
        <bgColor indexed="64"/>
      </patternFill>
    </fill>
    <fill>
      <patternFill patternType="solid">
        <fgColor theme="6" tint="0.39988402966399123"/>
        <bgColor indexed="64"/>
      </patternFill>
    </fill>
    <fill>
      <patternFill patternType="solid">
        <fgColor indexed="57"/>
        <bgColor indexed="64"/>
      </patternFill>
    </fill>
    <fill>
      <patternFill patternType="solid">
        <fgColor indexed="36"/>
        <bgColor indexed="64"/>
      </patternFill>
    </fill>
    <fill>
      <patternFill patternType="solid">
        <fgColor theme="4" tint="0.79985961485641044"/>
        <bgColor indexed="64"/>
      </patternFill>
    </fill>
    <fill>
      <patternFill patternType="solid">
        <fgColor theme="8" tint="0.39982299264503923"/>
        <bgColor indexed="64"/>
      </patternFill>
    </fill>
    <fill>
      <patternFill patternType="solid">
        <fgColor theme="4" tint="0.39988402966399123"/>
        <bgColor indexed="64"/>
      </patternFill>
    </fill>
    <fill>
      <patternFill patternType="solid">
        <fgColor theme="7" tint="0.79989013336588644"/>
        <bgColor indexed="64"/>
      </patternFill>
    </fill>
    <fill>
      <patternFill patternType="solid">
        <fgColor indexed="52"/>
        <bgColor indexed="64"/>
      </patternFill>
    </fill>
    <fill>
      <patternFill patternType="solid">
        <fgColor theme="8" tint="0.39991454817346722"/>
        <bgColor indexed="64"/>
      </patternFill>
    </fill>
    <fill>
      <patternFill patternType="solid">
        <fgColor theme="5" tint="0.79985961485641044"/>
        <bgColor indexed="64"/>
      </patternFill>
    </fill>
    <fill>
      <patternFill patternType="solid">
        <fgColor theme="9" tint="0.79985961485641044"/>
        <bgColor indexed="64"/>
      </patternFill>
    </fill>
    <fill>
      <patternFill patternType="solid">
        <fgColor theme="9" tint="0.79982909634693444"/>
        <bgColor indexed="64"/>
      </patternFill>
    </fill>
    <fill>
      <patternFill patternType="solid">
        <fgColor theme="5" tint="0.79982909634693444"/>
        <bgColor indexed="64"/>
      </patternFill>
    </fill>
    <fill>
      <patternFill patternType="solid">
        <fgColor indexed="62"/>
        <bgColor indexed="64"/>
      </patternFill>
    </fill>
    <fill>
      <patternFill patternType="solid">
        <fgColor theme="7" tint="0.39988402966399123"/>
        <bgColor indexed="64"/>
      </patternFill>
    </fill>
    <fill>
      <patternFill patternType="solid">
        <fgColor theme="7" tint="0.39985351115451523"/>
        <bgColor indexed="64"/>
      </patternFill>
    </fill>
    <fill>
      <patternFill patternType="solid">
        <fgColor theme="4" tint="0.39991454817346722"/>
        <bgColor indexed="64"/>
      </patternFill>
    </fill>
    <fill>
      <patternFill patternType="solid">
        <fgColor theme="8" tint="0.39988402966399123"/>
        <bgColor indexed="64"/>
      </patternFill>
    </fill>
    <fill>
      <patternFill patternType="solid">
        <fgColor theme="9" tint="0.39982299264503923"/>
        <bgColor indexed="64"/>
      </patternFill>
    </fill>
    <fill>
      <patternFill patternType="solid">
        <fgColor theme="4" tint="0.39985351115451523"/>
        <bgColor indexed="64"/>
      </patternFill>
    </fill>
    <fill>
      <patternFill patternType="solid">
        <fgColor theme="6" tint="0.79982909634693444"/>
        <bgColor indexed="64"/>
      </patternFill>
    </fill>
    <fill>
      <patternFill patternType="solid">
        <fgColor theme="9" tint="0.39988402966399123"/>
        <bgColor indexed="64"/>
      </patternFill>
    </fill>
    <fill>
      <patternFill patternType="solid">
        <fgColor theme="8" tint="0.79982909634693444"/>
        <bgColor indexed="64"/>
      </patternFill>
    </fill>
    <fill>
      <patternFill patternType="solid">
        <fgColor theme="7" tint="0.79982909634693444"/>
        <bgColor indexed="64"/>
      </patternFill>
    </fill>
    <fill>
      <patternFill patternType="solid">
        <fgColor theme="5" tint="0.39985351115451523"/>
        <bgColor indexed="64"/>
      </patternFill>
    </fill>
    <fill>
      <patternFill patternType="solid">
        <fgColor theme="6" tint="0.79992065187536243"/>
        <bgColor indexed="64"/>
      </patternFill>
    </fill>
    <fill>
      <patternFill patternType="solid">
        <fgColor theme="5" tint="0.39982299264503923"/>
        <bgColor indexed="64"/>
      </patternFill>
    </fill>
    <fill>
      <patternFill patternType="solid">
        <fgColor theme="8" tint="0.79985961485641044"/>
        <bgColor indexed="64"/>
      </patternFill>
    </fill>
    <fill>
      <patternFill patternType="solid">
        <fgColor theme="7" tint="0.39991454817346722"/>
        <bgColor indexed="64"/>
      </patternFill>
    </fill>
    <fill>
      <patternFill patternType="solid">
        <fgColor theme="4" tint="0.39982299264503923"/>
        <bgColor indexed="64"/>
      </patternFill>
    </fill>
    <fill>
      <patternFill patternType="solid">
        <fgColor theme="6" tint="0.39985351115451523"/>
        <bgColor indexed="64"/>
      </patternFill>
    </fill>
    <fill>
      <patternFill patternType="solid">
        <fgColor theme="9" tint="0.39991454817346722"/>
        <bgColor indexed="64"/>
      </patternFill>
    </fill>
    <fill>
      <patternFill patternType="solid">
        <fgColor theme="6" tint="0.39982299264503923"/>
        <bgColor indexed="64"/>
      </patternFill>
    </fill>
  </fills>
  <borders count="57">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thin">
        <color auto="1"/>
      </top>
      <bottom/>
      <diagonal/>
    </border>
    <border>
      <left/>
      <right style="medium">
        <color auto="1"/>
      </right>
      <top style="thin">
        <color auto="1"/>
      </top>
      <bottom style="medium">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style="thin">
        <color auto="1"/>
      </right>
      <top style="thin">
        <color auto="1"/>
      </top>
      <bottom/>
      <diagonal/>
    </border>
    <border>
      <left/>
      <right style="thin">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62"/>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medium">
        <color indexed="30"/>
      </bottom>
      <diagonal/>
    </border>
    <border>
      <left/>
      <right/>
      <top/>
      <bottom style="medium">
        <color theme="4" tint="0.39988402966399123"/>
      </bottom>
      <diagonal/>
    </border>
    <border>
      <left/>
      <right/>
      <top/>
      <bottom style="thick">
        <color theme="4" tint="0.499984740745262"/>
      </bottom>
      <diagonal/>
    </border>
    <border>
      <left/>
      <right/>
      <top/>
      <bottom style="thick">
        <color indexed="22"/>
      </bottom>
      <diagonal/>
    </border>
    <border>
      <left/>
      <right/>
      <top/>
      <bottom style="medium">
        <color theme="4" tint="0.39985351115451523"/>
      </bottom>
      <diagonal/>
    </border>
    <border>
      <left/>
      <right/>
      <top/>
      <bottom style="thick">
        <color theme="4"/>
      </bottom>
      <diagonal/>
    </border>
    <border>
      <left/>
      <right/>
      <top/>
      <bottom style="medium">
        <color theme="4" tint="0.39994506668294322"/>
      </bottom>
      <diagonal/>
    </border>
    <border>
      <left/>
      <right/>
      <top/>
      <bottom style="medium">
        <color theme="4" tint="0.39982299264503923"/>
      </bottom>
      <diagonal/>
    </border>
    <border>
      <left/>
      <right/>
      <top/>
      <bottom style="medium">
        <color theme="4" tint="0.39991454817346722"/>
      </bottom>
      <diagonal/>
    </border>
    <border>
      <left style="medium">
        <color auto="1"/>
      </left>
      <right style="thin">
        <color auto="1"/>
      </right>
      <top style="medium">
        <color auto="1"/>
      </top>
      <bottom/>
      <diagonal/>
    </border>
    <border>
      <left style="thin">
        <color indexed="64"/>
      </left>
      <right style="thin">
        <color indexed="64"/>
      </right>
      <top style="thin">
        <color indexed="64"/>
      </top>
      <bottom style="thin">
        <color indexed="64"/>
      </bottom>
      <diagonal/>
    </border>
    <border>
      <left style="thin">
        <color auto="1"/>
      </left>
      <right style="medium">
        <color auto="1"/>
      </right>
      <top style="medium">
        <color auto="1"/>
      </top>
      <bottom/>
      <diagonal/>
    </border>
    <border>
      <left style="thin">
        <color auto="1"/>
      </left>
      <right style="thin">
        <color auto="1"/>
      </right>
      <top style="medium">
        <color auto="1"/>
      </top>
      <bottom/>
      <diagonal/>
    </border>
  </borders>
  <cellStyleXfs count="154">
    <xf numFmtId="0" fontId="0" fillId="0" borderId="0">
      <alignment vertical="center"/>
    </xf>
    <xf numFmtId="9" fontId="49" fillId="0" borderId="0" applyFont="0" applyFill="0" applyBorder="0" applyAlignment="0" applyProtection="0">
      <alignment vertical="center"/>
    </xf>
    <xf numFmtId="164" fontId="49" fillId="0" borderId="0" applyFont="0" applyFill="0" applyBorder="0" applyAlignment="0" applyProtection="0">
      <alignment vertical="center"/>
    </xf>
    <xf numFmtId="0" fontId="16" fillId="36" borderId="0" applyNumberFormat="0" applyBorder="0" applyAlignment="0" applyProtection="0">
      <alignment vertical="center"/>
    </xf>
    <xf numFmtId="0" fontId="16" fillId="37" borderId="0" applyNumberFormat="0" applyBorder="0" applyAlignment="0" applyProtection="0">
      <alignment vertical="center"/>
    </xf>
    <xf numFmtId="0" fontId="17" fillId="38" borderId="0" applyNumberFormat="0" applyBorder="0" applyAlignment="0" applyProtection="0">
      <alignment vertical="center"/>
    </xf>
    <xf numFmtId="0" fontId="16" fillId="39" borderId="0" applyNumberFormat="0" applyBorder="0" applyAlignment="0" applyProtection="0">
      <alignment vertical="center"/>
    </xf>
    <xf numFmtId="0" fontId="18" fillId="40" borderId="37" applyNumberFormat="0" applyAlignment="0" applyProtection="0">
      <alignment vertical="center"/>
    </xf>
    <xf numFmtId="0" fontId="19" fillId="40" borderId="38" applyNumberFormat="0" applyAlignment="0" applyProtection="0">
      <alignment vertical="center"/>
    </xf>
    <xf numFmtId="0" fontId="1" fillId="41" borderId="39" applyNumberFormat="0" applyFont="0" applyAlignment="0" applyProtection="0">
      <alignment vertical="center"/>
    </xf>
    <xf numFmtId="0" fontId="16" fillId="42" borderId="0" applyNumberFormat="0" applyBorder="0" applyAlignment="0" applyProtection="0">
      <alignment vertical="center"/>
    </xf>
    <xf numFmtId="0" fontId="16" fillId="43" borderId="0" applyNumberFormat="0" applyBorder="0" applyAlignment="0" applyProtection="0">
      <alignment vertical="center"/>
    </xf>
    <xf numFmtId="0" fontId="16" fillId="44" borderId="0" applyNumberFormat="0" applyBorder="0" applyAlignment="0" applyProtection="0">
      <alignment vertical="center"/>
    </xf>
    <xf numFmtId="0" fontId="20" fillId="0" borderId="40" applyNumberFormat="0" applyFill="0" applyAlignment="0" applyProtection="0">
      <alignment vertical="center"/>
    </xf>
    <xf numFmtId="0" fontId="49" fillId="45" borderId="0" applyNumberFormat="0" applyBorder="0" applyAlignment="0" applyProtection="0">
      <alignment vertical="center"/>
    </xf>
    <xf numFmtId="0" fontId="49" fillId="46" borderId="0" applyNumberFormat="0" applyBorder="0" applyAlignment="0" applyProtection="0">
      <alignment vertical="center"/>
    </xf>
    <xf numFmtId="0" fontId="21" fillId="0" borderId="41" applyNumberFormat="0" applyFill="0" applyAlignment="0" applyProtection="0">
      <alignment vertical="center"/>
    </xf>
    <xf numFmtId="0" fontId="17" fillId="37" borderId="0" applyNumberFormat="0" applyBorder="0" applyAlignment="0" applyProtection="0">
      <alignment vertical="center"/>
    </xf>
    <xf numFmtId="0" fontId="16" fillId="47" borderId="0" applyNumberFormat="0" applyBorder="0" applyAlignment="0" applyProtection="0">
      <alignment vertical="center"/>
    </xf>
    <xf numFmtId="0" fontId="17" fillId="36" borderId="0" applyNumberFormat="0" applyBorder="0" applyAlignment="0" applyProtection="0">
      <alignment vertical="center"/>
    </xf>
    <xf numFmtId="0" fontId="22" fillId="0" borderId="0" applyNumberFormat="0" applyFill="0" applyBorder="0" applyAlignment="0" applyProtection="0">
      <alignment vertical="center"/>
    </xf>
    <xf numFmtId="0" fontId="23" fillId="19" borderId="0" applyNumberFormat="0" applyBorder="0" applyAlignment="0" applyProtection="0">
      <alignment vertical="center"/>
    </xf>
    <xf numFmtId="0" fontId="24" fillId="39" borderId="38" applyNumberFormat="0" applyAlignment="0" applyProtection="0">
      <alignment vertical="center"/>
    </xf>
    <xf numFmtId="0" fontId="25" fillId="48" borderId="0" applyNumberFormat="0" applyBorder="0" applyAlignment="0" applyProtection="0">
      <alignment vertical="center"/>
    </xf>
    <xf numFmtId="0" fontId="16" fillId="49" borderId="0" applyNumberFormat="0" applyBorder="0" applyAlignment="0" applyProtection="0">
      <alignment vertical="center"/>
    </xf>
    <xf numFmtId="0" fontId="23" fillId="12" borderId="0" applyNumberFormat="0" applyBorder="0" applyAlignment="0" applyProtection="0">
      <alignment vertical="center"/>
    </xf>
    <xf numFmtId="0" fontId="26" fillId="0" borderId="0" applyNumberFormat="0" applyFill="0" applyBorder="0" applyAlignment="0" applyProtection="0">
      <alignment vertical="center"/>
    </xf>
    <xf numFmtId="0" fontId="49" fillId="50" borderId="0" applyNumberFormat="0" applyBorder="0" applyAlignment="0" applyProtection="0">
      <alignment vertical="center"/>
    </xf>
    <xf numFmtId="0" fontId="49" fillId="33" borderId="0" applyNumberFormat="0" applyBorder="0" applyAlignment="0" applyProtection="0">
      <alignment vertical="center"/>
    </xf>
    <xf numFmtId="0" fontId="49" fillId="51" borderId="0" applyNumberFormat="0" applyBorder="0" applyAlignment="0" applyProtection="0">
      <alignment vertical="center"/>
    </xf>
    <xf numFmtId="0" fontId="49" fillId="18" borderId="0" applyNumberFormat="0" applyBorder="0" applyAlignment="0" applyProtection="0">
      <alignment vertical="center"/>
    </xf>
    <xf numFmtId="0" fontId="49" fillId="52" borderId="0" applyNumberFormat="0" applyBorder="0" applyAlignment="0" applyProtection="0">
      <alignment vertical="center"/>
    </xf>
    <xf numFmtId="166" fontId="16" fillId="0" borderId="0" applyFont="0" applyFill="0" applyBorder="0" applyAlignment="0" applyProtection="0">
      <alignment vertical="center"/>
    </xf>
    <xf numFmtId="0" fontId="17" fillId="53" borderId="0" applyNumberFormat="0" applyBorder="0" applyAlignment="0" applyProtection="0">
      <alignment vertical="center"/>
    </xf>
    <xf numFmtId="0" fontId="27" fillId="0" borderId="0" applyNumberFormat="0" applyFill="0" applyBorder="0" applyAlignment="0" applyProtection="0">
      <alignment vertical="center"/>
    </xf>
    <xf numFmtId="166" fontId="49" fillId="0" borderId="0" applyFont="0" applyFill="0" applyBorder="0" applyAlignment="0" applyProtection="0">
      <alignment vertical="center"/>
    </xf>
    <xf numFmtId="0" fontId="49" fillId="54" borderId="0" applyNumberFormat="0" applyBorder="0" applyAlignment="0" applyProtection="0">
      <alignment vertical="center"/>
    </xf>
    <xf numFmtId="0" fontId="49" fillId="17" borderId="0" applyNumberFormat="0" applyBorder="0" applyAlignment="0" applyProtection="0">
      <alignment vertical="center"/>
    </xf>
    <xf numFmtId="0" fontId="49" fillId="55" borderId="0" applyNumberFormat="0" applyBorder="0" applyAlignment="0" applyProtection="0">
      <alignment vertical="center"/>
    </xf>
    <xf numFmtId="0" fontId="49" fillId="56" borderId="0" applyNumberFormat="0" applyBorder="0" applyAlignment="0" applyProtection="0">
      <alignment vertical="center"/>
    </xf>
    <xf numFmtId="0" fontId="28" fillId="0" borderId="42" applyNumberFormat="0" applyFill="0" applyAlignment="0" applyProtection="0">
      <alignment vertical="center"/>
    </xf>
    <xf numFmtId="0" fontId="49" fillId="13" borderId="0" applyNumberFormat="0" applyBorder="0" applyAlignment="0" applyProtection="0">
      <alignment vertical="center"/>
    </xf>
    <xf numFmtId="0" fontId="29" fillId="57" borderId="43" applyNumberFormat="0" applyAlignment="0" applyProtection="0">
      <alignment vertical="center"/>
    </xf>
    <xf numFmtId="0" fontId="17" fillId="58" borderId="0" applyNumberFormat="0" applyBorder="0" applyAlignment="0" applyProtection="0">
      <alignment vertical="center"/>
    </xf>
    <xf numFmtId="0" fontId="30" fillId="49" borderId="0" applyNumberFormat="0" applyBorder="0" applyAlignment="0" applyProtection="0">
      <alignment vertical="center"/>
    </xf>
    <xf numFmtId="0" fontId="23" fillId="59" borderId="0" applyNumberFormat="0" applyBorder="0" applyAlignment="0" applyProtection="0">
      <alignment vertical="center"/>
    </xf>
    <xf numFmtId="0" fontId="49" fillId="60" borderId="0" applyNumberFormat="0" applyBorder="0" applyAlignment="0" applyProtection="0">
      <alignment vertical="center"/>
    </xf>
    <xf numFmtId="0" fontId="49" fillId="61" borderId="0" applyNumberFormat="0" applyBorder="0" applyAlignment="0" applyProtection="0">
      <alignment vertical="center"/>
    </xf>
    <xf numFmtId="0" fontId="17" fillId="62" borderId="0" applyNumberFormat="0" applyBorder="0" applyAlignment="0" applyProtection="0">
      <alignment vertical="center"/>
    </xf>
    <xf numFmtId="0" fontId="31" fillId="63" borderId="0" applyNumberFormat="0" applyBorder="0" applyAlignment="0" applyProtection="0">
      <alignment vertical="center"/>
    </xf>
    <xf numFmtId="0" fontId="16" fillId="64" borderId="0" applyNumberFormat="0" applyBorder="0" applyAlignment="0" applyProtection="0">
      <alignment vertical="center"/>
    </xf>
    <xf numFmtId="167" fontId="49" fillId="0" borderId="0" applyFont="0" applyFill="0" applyBorder="0" applyAlignment="0" applyProtection="0">
      <alignment vertical="center"/>
    </xf>
    <xf numFmtId="0" fontId="49" fillId="65" borderId="0" applyNumberFormat="0" applyBorder="0" applyAlignment="0" applyProtection="0">
      <alignment vertical="center"/>
    </xf>
    <xf numFmtId="0" fontId="23" fillId="66" borderId="0" applyNumberFormat="0" applyBorder="0" applyAlignment="0" applyProtection="0">
      <alignment vertical="center"/>
    </xf>
    <xf numFmtId="0" fontId="16" fillId="63" borderId="0" applyNumberFormat="0" applyBorder="0" applyAlignment="0" applyProtection="0">
      <alignment vertical="center"/>
    </xf>
    <xf numFmtId="0" fontId="23" fillId="67" borderId="0" applyNumberFormat="0" applyBorder="0" applyAlignment="0" applyProtection="0">
      <alignment vertical="center"/>
    </xf>
    <xf numFmtId="0" fontId="23" fillId="31" borderId="0" applyNumberFormat="0" applyBorder="0" applyAlignment="0" applyProtection="0">
      <alignment vertical="center"/>
    </xf>
    <xf numFmtId="0" fontId="49" fillId="68" borderId="0" applyNumberFormat="0" applyBorder="0" applyAlignment="0" applyProtection="0">
      <alignment vertical="center"/>
    </xf>
    <xf numFmtId="0" fontId="23" fillId="69" borderId="0" applyNumberFormat="0" applyBorder="0" applyAlignment="0" applyProtection="0">
      <alignment vertical="center"/>
    </xf>
    <xf numFmtId="0" fontId="49" fillId="25" borderId="0" applyNumberFormat="0" applyBorder="0" applyAlignment="0" applyProtection="0">
      <alignment vertical="center"/>
    </xf>
    <xf numFmtId="0" fontId="27" fillId="0" borderId="44" applyNumberFormat="0" applyFill="0" applyAlignment="0" applyProtection="0">
      <alignment vertical="center"/>
    </xf>
    <xf numFmtId="0" fontId="23" fillId="70" borderId="0" applyNumberFormat="0" applyBorder="0" applyAlignment="0" applyProtection="0">
      <alignment vertical="center"/>
    </xf>
    <xf numFmtId="0" fontId="23" fillId="15" borderId="0" applyNumberFormat="0" applyBorder="0" applyAlignment="0" applyProtection="0">
      <alignment vertical="center"/>
    </xf>
    <xf numFmtId="0" fontId="23" fillId="27" borderId="0" applyNumberFormat="0" applyBorder="0" applyAlignment="0" applyProtection="0">
      <alignment vertical="center"/>
    </xf>
    <xf numFmtId="0" fontId="23" fillId="23" borderId="0" applyNumberFormat="0" applyBorder="0" applyAlignment="0" applyProtection="0">
      <alignment vertical="center"/>
    </xf>
    <xf numFmtId="0" fontId="23" fillId="71" borderId="0" applyNumberFormat="0" applyBorder="0" applyAlignment="0" applyProtection="0">
      <alignment vertical="center"/>
    </xf>
    <xf numFmtId="0" fontId="49" fillId="72" borderId="0" applyNumberFormat="0" applyBorder="0" applyAlignment="0" applyProtection="0">
      <alignment vertical="center"/>
    </xf>
    <xf numFmtId="0" fontId="23" fillId="73" borderId="0" applyNumberFormat="0" applyBorder="0" applyAlignment="0" applyProtection="0">
      <alignment vertical="center"/>
    </xf>
    <xf numFmtId="0" fontId="17" fillId="74" borderId="0" applyNumberFormat="0" applyBorder="0" applyAlignment="0" applyProtection="0">
      <alignment vertical="center"/>
    </xf>
    <xf numFmtId="168" fontId="1" fillId="0" borderId="0"/>
    <xf numFmtId="0" fontId="49" fillId="14" borderId="0" applyNumberFormat="0" applyBorder="0" applyAlignment="0" applyProtection="0">
      <alignment vertical="center"/>
    </xf>
    <xf numFmtId="0" fontId="49" fillId="29" borderId="0" applyNumberFormat="0" applyBorder="0" applyAlignment="0" applyProtection="0">
      <alignment vertical="center"/>
    </xf>
    <xf numFmtId="0" fontId="17" fillId="75" borderId="0" applyNumberFormat="0" applyBorder="0" applyAlignment="0" applyProtection="0">
      <alignment vertical="center"/>
    </xf>
    <xf numFmtId="0" fontId="49" fillId="76" borderId="0" applyNumberFormat="0" applyBorder="0" applyAlignment="0" applyProtection="0">
      <alignment vertical="center"/>
    </xf>
    <xf numFmtId="0" fontId="15" fillId="0" borderId="45" applyNumberFormat="0" applyFill="0" applyAlignment="0" applyProtection="0">
      <alignment vertical="center"/>
    </xf>
    <xf numFmtId="0" fontId="23" fillId="77" borderId="0" applyNumberFormat="0" applyBorder="0" applyAlignment="0" applyProtection="0">
      <alignment vertical="center"/>
    </xf>
    <xf numFmtId="0" fontId="23" fillId="78" borderId="0" applyNumberFormat="0" applyBorder="0" applyAlignment="0" applyProtection="0">
      <alignment vertical="center"/>
    </xf>
    <xf numFmtId="0" fontId="49" fillId="79" borderId="0" applyNumberFormat="0" applyBorder="0" applyAlignment="0" applyProtection="0">
      <alignment vertical="center"/>
    </xf>
    <xf numFmtId="0" fontId="17" fillId="80" borderId="0" applyNumberFormat="0" applyBorder="0" applyAlignment="0" applyProtection="0">
      <alignment vertical="center"/>
    </xf>
    <xf numFmtId="0" fontId="23" fillId="81" borderId="0" applyNumberFormat="0" applyBorder="0" applyAlignment="0" applyProtection="0">
      <alignment vertical="center"/>
    </xf>
    <xf numFmtId="0" fontId="49" fillId="82" borderId="0" applyNumberFormat="0" applyBorder="0" applyAlignment="0" applyProtection="0">
      <alignment vertical="center"/>
    </xf>
    <xf numFmtId="0" fontId="49" fillId="83" borderId="0" applyNumberFormat="0" applyBorder="0" applyAlignment="0" applyProtection="0">
      <alignment vertical="center"/>
    </xf>
    <xf numFmtId="0" fontId="49" fillId="84" borderId="0" applyNumberFormat="0" applyBorder="0" applyAlignment="0" applyProtection="0">
      <alignment vertical="center"/>
    </xf>
    <xf numFmtId="9" fontId="1" fillId="0" borderId="0" applyFont="0" applyFill="0" applyBorder="0" applyAlignment="0" applyProtection="0"/>
    <xf numFmtId="0" fontId="49" fillId="85" borderId="0" applyNumberFormat="0" applyBorder="0" applyAlignment="0" applyProtection="0">
      <alignment vertical="center"/>
    </xf>
    <xf numFmtId="0" fontId="23" fillId="35" borderId="0" applyNumberFormat="0" applyBorder="0" applyAlignment="0" applyProtection="0">
      <alignment vertical="center"/>
    </xf>
    <xf numFmtId="0" fontId="17" fillId="86" borderId="0" applyNumberFormat="0" applyBorder="0" applyAlignment="0" applyProtection="0">
      <alignment vertical="center"/>
    </xf>
    <xf numFmtId="167" fontId="16" fillId="0" borderId="0" applyFont="0" applyFill="0" applyBorder="0" applyAlignment="0" applyProtection="0">
      <alignment vertical="center"/>
    </xf>
    <xf numFmtId="0" fontId="32" fillId="7" borderId="32" applyNumberFormat="0" applyAlignment="0" applyProtection="0">
      <alignment vertical="center"/>
    </xf>
    <xf numFmtId="0" fontId="33" fillId="0" borderId="0"/>
    <xf numFmtId="0" fontId="23" fillId="87" borderId="0" applyNumberFormat="0" applyBorder="0" applyAlignment="0" applyProtection="0">
      <alignment vertical="center"/>
    </xf>
    <xf numFmtId="0" fontId="49" fillId="26" borderId="0" applyNumberFormat="0" applyBorder="0" applyAlignment="0" applyProtection="0">
      <alignment vertical="center"/>
    </xf>
    <xf numFmtId="0" fontId="49" fillId="34" borderId="0" applyNumberFormat="0" applyBorder="0" applyAlignment="0" applyProtection="0">
      <alignment vertical="center"/>
    </xf>
    <xf numFmtId="0" fontId="23" fillId="88" borderId="0" applyNumberFormat="0" applyBorder="0" applyAlignment="0" applyProtection="0">
      <alignment vertical="center"/>
    </xf>
    <xf numFmtId="0" fontId="23" fillId="89" borderId="0" applyNumberFormat="0" applyBorder="0" applyAlignment="0" applyProtection="0">
      <alignment vertical="center"/>
    </xf>
    <xf numFmtId="0" fontId="14" fillId="0" borderId="46" applyNumberFormat="0" applyFill="0" applyAlignment="0" applyProtection="0">
      <alignment vertical="center"/>
    </xf>
    <xf numFmtId="0" fontId="49" fillId="21" borderId="0" applyNumberFormat="0" applyBorder="0" applyAlignment="0" applyProtection="0">
      <alignment vertical="center"/>
    </xf>
    <xf numFmtId="0" fontId="34" fillId="0" borderId="47" applyNumberFormat="0" applyFill="0" applyAlignment="0" applyProtection="0">
      <alignment vertical="center"/>
    </xf>
    <xf numFmtId="0" fontId="35" fillId="0" borderId="0"/>
    <xf numFmtId="0" fontId="23" fillId="90" borderId="0" applyNumberFormat="0" applyBorder="0" applyAlignment="0" applyProtection="0">
      <alignment vertical="center"/>
    </xf>
    <xf numFmtId="0" fontId="23" fillId="32" borderId="0" applyNumberFormat="0" applyBorder="0" applyAlignment="0" applyProtection="0">
      <alignment vertical="center"/>
    </xf>
    <xf numFmtId="0" fontId="23" fillId="91" borderId="0" applyNumberFormat="0" applyBorder="0" applyAlignment="0" applyProtection="0">
      <alignment vertical="center"/>
    </xf>
    <xf numFmtId="0" fontId="49" fillId="22" borderId="0" applyNumberFormat="0" applyBorder="0" applyAlignment="0" applyProtection="0">
      <alignment vertical="center"/>
    </xf>
    <xf numFmtId="0" fontId="23" fillId="92" borderId="0" applyNumberFormat="0" applyBorder="0" applyAlignment="0" applyProtection="0">
      <alignment vertical="center"/>
    </xf>
    <xf numFmtId="0" fontId="49" fillId="93" borderId="0" applyNumberFormat="0" applyBorder="0" applyAlignment="0" applyProtection="0">
      <alignment vertical="center"/>
    </xf>
    <xf numFmtId="0" fontId="36" fillId="0" borderId="0" applyNumberFormat="0" applyFill="0" applyBorder="0" applyAlignment="0" applyProtection="0">
      <alignment vertical="center"/>
    </xf>
    <xf numFmtId="0" fontId="15" fillId="0" borderId="48" applyNumberFormat="0" applyFill="0" applyAlignment="0" applyProtection="0">
      <alignment vertical="center"/>
    </xf>
    <xf numFmtId="0" fontId="23" fillId="94" borderId="0" applyNumberFormat="0" applyBorder="0" applyAlignment="0" applyProtection="0">
      <alignment vertical="center"/>
    </xf>
    <xf numFmtId="0" fontId="49" fillId="30" borderId="0" applyNumberFormat="0" applyBorder="0" applyAlignment="0" applyProtection="0">
      <alignment vertical="center"/>
    </xf>
    <xf numFmtId="0" fontId="23" fillId="28" borderId="0" applyNumberFormat="0" applyBorder="0" applyAlignment="0" applyProtection="0">
      <alignment vertical="center"/>
    </xf>
    <xf numFmtId="0" fontId="37" fillId="11" borderId="0" applyNumberFormat="0" applyBorder="0" applyAlignment="0" applyProtection="0">
      <alignment vertical="center"/>
    </xf>
    <xf numFmtId="0" fontId="49" fillId="95" borderId="0" applyNumberFormat="0" applyBorder="0" applyAlignment="0" applyProtection="0">
      <alignment vertical="center"/>
    </xf>
    <xf numFmtId="0" fontId="49" fillId="96" borderId="0" applyNumberFormat="0" applyBorder="0" applyAlignment="0" applyProtection="0">
      <alignment vertical="center"/>
    </xf>
    <xf numFmtId="0" fontId="23" fillId="97" borderId="0" applyNumberFormat="0" applyBorder="0" applyAlignment="0" applyProtection="0">
      <alignment vertical="center"/>
    </xf>
    <xf numFmtId="0" fontId="4" fillId="0" borderId="36" applyNumberFormat="0" applyFill="0" applyAlignment="0" applyProtection="0">
      <alignment vertical="center"/>
    </xf>
    <xf numFmtId="0" fontId="38" fillId="8" borderId="34" applyNumberFormat="0" applyAlignment="0" applyProtection="0">
      <alignment vertical="center"/>
    </xf>
    <xf numFmtId="0" fontId="39" fillId="0" borderId="0" applyNumberFormat="0" applyFill="0" applyBorder="0" applyAlignment="0" applyProtection="0">
      <alignment vertical="center"/>
    </xf>
    <xf numFmtId="0" fontId="49" fillId="98" borderId="0" applyNumberFormat="0" applyBorder="0" applyAlignment="0" applyProtection="0">
      <alignment vertical="center"/>
    </xf>
    <xf numFmtId="0" fontId="40" fillId="0" borderId="0"/>
    <xf numFmtId="0" fontId="23" fillId="99" borderId="0" applyNumberFormat="0" applyBorder="0" applyAlignment="0" applyProtection="0">
      <alignment vertical="center"/>
    </xf>
    <xf numFmtId="0" fontId="49" fillId="100" borderId="0" applyNumberFormat="0" applyBorder="0" applyAlignment="0" applyProtection="0">
      <alignment vertical="center"/>
    </xf>
    <xf numFmtId="0" fontId="23" fillId="101" borderId="0" applyNumberFormat="0" applyBorder="0" applyAlignment="0" applyProtection="0">
      <alignment vertical="center"/>
    </xf>
    <xf numFmtId="0" fontId="23" fillId="24" borderId="0" applyNumberFormat="0" applyBorder="0" applyAlignment="0" applyProtection="0">
      <alignment vertical="center"/>
    </xf>
    <xf numFmtId="0" fontId="13" fillId="0" borderId="49" applyNumberFormat="0" applyFill="0" applyAlignment="0" applyProtection="0">
      <alignment vertical="center"/>
    </xf>
    <xf numFmtId="0" fontId="49" fillId="0" borderId="0">
      <alignment vertical="center"/>
    </xf>
    <xf numFmtId="0" fontId="41" fillId="0" borderId="0" applyNumberFormat="0" applyFill="0" applyBorder="0" applyAlignment="0" applyProtection="0">
      <alignment vertical="center"/>
    </xf>
    <xf numFmtId="0" fontId="42" fillId="0" borderId="35" applyNumberFormat="0" applyFill="0" applyAlignment="0" applyProtection="0">
      <alignment vertical="center"/>
    </xf>
    <xf numFmtId="0" fontId="43" fillId="7" borderId="33" applyNumberFormat="0" applyAlignment="0" applyProtection="0">
      <alignment vertical="center"/>
    </xf>
    <xf numFmtId="0" fontId="44" fillId="9" borderId="0" applyNumberFormat="0" applyBorder="0" applyAlignment="0" applyProtection="0">
      <alignment vertical="center"/>
    </xf>
    <xf numFmtId="0" fontId="45" fillId="10" borderId="0" applyNumberFormat="0" applyBorder="0" applyAlignment="0" applyProtection="0">
      <alignment vertical="center"/>
    </xf>
    <xf numFmtId="0" fontId="23" fillId="102" borderId="0" applyNumberFormat="0" applyBorder="0" applyAlignment="0" applyProtection="0">
      <alignment vertical="center"/>
    </xf>
    <xf numFmtId="0" fontId="23" fillId="103" borderId="0" applyNumberFormat="0" applyBorder="0" applyAlignment="0" applyProtection="0">
      <alignment vertical="center"/>
    </xf>
    <xf numFmtId="0" fontId="15" fillId="0" borderId="50" applyNumberFormat="0" applyFill="0" applyAlignment="0" applyProtection="0">
      <alignment vertical="center"/>
    </xf>
    <xf numFmtId="0" fontId="23" fillId="104" borderId="0" applyNumberFormat="0" applyBorder="0" applyAlignment="0" applyProtection="0">
      <alignment vertical="center"/>
    </xf>
    <xf numFmtId="0" fontId="46" fillId="0" borderId="0" applyNumberFormat="0" applyFill="0" applyBorder="0" applyAlignment="0" applyProtection="0">
      <alignment vertical="center"/>
    </xf>
    <xf numFmtId="0" fontId="23" fillId="105" borderId="0" applyNumberFormat="0" applyBorder="0" applyAlignment="0" applyProtection="0">
      <alignment vertical="center"/>
    </xf>
    <xf numFmtId="0" fontId="15" fillId="0" borderId="51" applyNumberFormat="0" applyFill="0" applyAlignment="0" applyProtection="0">
      <alignment vertical="center"/>
    </xf>
    <xf numFmtId="0" fontId="47" fillId="6" borderId="32" applyNumberFormat="0" applyAlignment="0" applyProtection="0">
      <alignment vertical="center"/>
    </xf>
    <xf numFmtId="0" fontId="23" fillId="20" borderId="0" applyNumberFormat="0" applyBorder="0" applyAlignment="0" applyProtection="0">
      <alignment vertical="center"/>
    </xf>
    <xf numFmtId="0" fontId="15" fillId="0" borderId="52" applyNumberFormat="0" applyFill="0" applyAlignment="0" applyProtection="0">
      <alignment vertical="center"/>
    </xf>
    <xf numFmtId="0" fontId="1" fillId="0" borderId="0"/>
    <xf numFmtId="0" fontId="1" fillId="0" borderId="0">
      <alignment vertical="center"/>
    </xf>
    <xf numFmtId="0" fontId="49" fillId="0" borderId="0">
      <alignment vertical="center"/>
    </xf>
    <xf numFmtId="0" fontId="1" fillId="0" borderId="0"/>
    <xf numFmtId="169" fontId="49" fillId="0" borderId="0">
      <alignment vertical="center"/>
    </xf>
    <xf numFmtId="0" fontId="23" fillId="16" borderId="0" applyNumberFormat="0" applyBorder="0" applyAlignment="0" applyProtection="0">
      <alignment vertical="center"/>
    </xf>
    <xf numFmtId="0" fontId="1" fillId="0" borderId="0"/>
    <xf numFmtId="0" fontId="16" fillId="0" borderId="0" applyProtection="0">
      <alignment vertical="center"/>
    </xf>
    <xf numFmtId="0" fontId="49" fillId="0" borderId="0"/>
    <xf numFmtId="0" fontId="35" fillId="0" borderId="0">
      <alignment vertical="center"/>
    </xf>
    <xf numFmtId="0" fontId="48" fillId="0" borderId="0" applyNumberFormat="0" applyFill="0" applyBorder="0" applyAlignment="0" applyProtection="0">
      <alignment vertical="center"/>
    </xf>
    <xf numFmtId="0" fontId="16" fillId="5" borderId="31" applyNumberFormat="0" applyFont="0" applyAlignment="0" applyProtection="0">
      <alignment vertical="center"/>
    </xf>
    <xf numFmtId="0" fontId="16" fillId="0" borderId="0"/>
    <xf numFmtId="0" fontId="1" fillId="0" borderId="0"/>
  </cellStyleXfs>
  <cellXfs count="158">
    <xf numFmtId="0" fontId="0" fillId="0" borderId="0" xfId="0">
      <alignment vertical="center"/>
    </xf>
    <xf numFmtId="0" fontId="0" fillId="0" borderId="1" xfId="0" applyBorder="1" applyAlignment="1">
      <alignment horizontal="center" vertical="center"/>
    </xf>
    <xf numFmtId="0" fontId="1" fillId="0" borderId="0" xfId="0" applyFont="1">
      <alignment vertical="center"/>
    </xf>
    <xf numFmtId="0" fontId="1" fillId="2" borderId="0" xfId="0" applyFont="1" applyFill="1">
      <alignment vertical="center"/>
    </xf>
    <xf numFmtId="0" fontId="4" fillId="0" borderId="6" xfId="0" applyFont="1" applyBorder="1" applyAlignment="1">
      <alignment horizontal="center" vertical="center"/>
    </xf>
    <xf numFmtId="0" fontId="5" fillId="0" borderId="6" xfId="140" applyFont="1" applyBorder="1" applyAlignment="1">
      <alignment horizontal="left" vertical="center" wrapText="1"/>
    </xf>
    <xf numFmtId="0" fontId="5" fillId="0" borderId="10" xfId="140" applyFont="1" applyBorder="1" applyAlignment="1">
      <alignment horizontal="left" vertical="center" wrapText="1"/>
    </xf>
    <xf numFmtId="0" fontId="4" fillId="0" borderId="1" xfId="0" applyFont="1" applyBorder="1" applyAlignment="1">
      <alignment horizontal="center" vertical="center"/>
    </xf>
    <xf numFmtId="0" fontId="5" fillId="0" borderId="1" xfId="140" applyFont="1" applyBorder="1" applyAlignment="1">
      <alignment horizontal="left" vertical="center" wrapText="1"/>
    </xf>
    <xf numFmtId="0" fontId="1" fillId="0" borderId="15" xfId="0" applyFont="1" applyBorder="1" applyAlignment="1">
      <alignment horizontal="center" vertical="center"/>
    </xf>
    <xf numFmtId="0" fontId="5" fillId="0" borderId="15" xfId="140" applyFont="1" applyBorder="1" applyAlignment="1">
      <alignment horizontal="left" vertical="center" wrapText="1"/>
    </xf>
    <xf numFmtId="0" fontId="4" fillId="0" borderId="18" xfId="0" applyFont="1" applyBorder="1" applyAlignment="1">
      <alignment horizontal="center" vertical="center"/>
    </xf>
    <xf numFmtId="0" fontId="7" fillId="0" borderId="1" xfId="0" applyFont="1" applyBorder="1" applyAlignment="1">
      <alignment horizontal="center" vertical="center" wrapText="1"/>
    </xf>
    <xf numFmtId="9" fontId="7" fillId="0" borderId="1" xfId="0" applyNumberFormat="1" applyFont="1" applyBorder="1" applyAlignment="1">
      <alignment horizontal="center" vertical="center" wrapText="1"/>
    </xf>
    <xf numFmtId="14" fontId="7" fillId="0" borderId="1" xfId="0" applyNumberFormat="1" applyFont="1" applyBorder="1" applyAlignment="1">
      <alignment horizontal="center" vertical="center" wrapText="1"/>
    </xf>
    <xf numFmtId="170" fontId="7" fillId="0" borderId="1" xfId="0" applyNumberFormat="1" applyFont="1" applyBorder="1" applyAlignment="1">
      <alignment horizontal="center" vertical="center" wrapText="1"/>
    </xf>
    <xf numFmtId="49" fontId="7" fillId="0" borderId="1" xfId="0" applyNumberFormat="1" applyFont="1" applyBorder="1" applyAlignment="1">
      <alignment horizontal="center" vertical="center" wrapText="1"/>
    </xf>
    <xf numFmtId="170" fontId="8" fillId="0" borderId="1" xfId="0" applyNumberFormat="1" applyFont="1" applyBorder="1" applyAlignment="1">
      <alignment horizontal="center" vertical="center" wrapText="1"/>
    </xf>
    <xf numFmtId="171" fontId="5" fillId="0" borderId="1" xfId="0" applyNumberFormat="1" applyFont="1" applyBorder="1" applyAlignment="1">
      <alignment horizontal="center"/>
    </xf>
    <xf numFmtId="0" fontId="6" fillId="0" borderId="1" xfId="0" applyFont="1" applyBorder="1" applyAlignment="1">
      <alignment horizontal="center" vertical="center"/>
    </xf>
    <xf numFmtId="0" fontId="6" fillId="2" borderId="1" xfId="0" applyFont="1" applyFill="1" applyBorder="1" applyAlignment="1">
      <alignment horizontal="center" vertical="center"/>
    </xf>
    <xf numFmtId="172" fontId="9" fillId="0" borderId="18" xfId="0" applyNumberFormat="1" applyFont="1" applyBorder="1" applyAlignment="1">
      <alignment horizontal="center" vertical="center" wrapText="1"/>
    </xf>
    <xf numFmtId="9" fontId="9" fillId="0" borderId="18" xfId="0" applyNumberFormat="1" applyFont="1" applyBorder="1" applyAlignment="1">
      <alignment vertical="center" wrapText="1"/>
    </xf>
    <xf numFmtId="170" fontId="9" fillId="0" borderId="1" xfId="0" applyNumberFormat="1" applyFont="1" applyBorder="1" applyAlignment="1">
      <alignment horizontal="center" vertical="center" wrapText="1"/>
    </xf>
    <xf numFmtId="172" fontId="9" fillId="0" borderId="1" xfId="0" applyNumberFormat="1" applyFont="1" applyBorder="1" applyAlignment="1">
      <alignment horizontal="center" vertical="center" wrapText="1"/>
    </xf>
    <xf numFmtId="173" fontId="9" fillId="0" borderId="1" xfId="152" applyNumberFormat="1" applyFont="1" applyBorder="1" applyAlignment="1">
      <alignment horizontal="center" vertical="center" wrapText="1" shrinkToFit="1"/>
    </xf>
    <xf numFmtId="174" fontId="6" fillId="2" borderId="1" xfId="2" applyNumberFormat="1" applyFont="1" applyFill="1" applyBorder="1" applyAlignment="1">
      <alignment horizontal="right" vertical="center" wrapText="1"/>
    </xf>
    <xf numFmtId="0" fontId="9" fillId="0" borderId="1" xfId="0" applyFont="1" applyBorder="1" applyAlignment="1">
      <alignment horizontal="center" vertical="center" wrapText="1"/>
    </xf>
    <xf numFmtId="175" fontId="6" fillId="0" borderId="1" xfId="0" applyNumberFormat="1" applyFont="1" applyBorder="1" applyAlignment="1">
      <alignment horizontal="center" vertical="center" wrapText="1"/>
    </xf>
    <xf numFmtId="0" fontId="1" fillId="0" borderId="1" xfId="0" applyFont="1" applyBorder="1" applyAlignment="1">
      <alignment horizontal="center"/>
    </xf>
    <xf numFmtId="172" fontId="9" fillId="0" borderId="23" xfId="0" applyNumberFormat="1" applyFont="1" applyBorder="1" applyAlignment="1">
      <alignment horizontal="center" vertical="center" wrapText="1"/>
    </xf>
    <xf numFmtId="49" fontId="0" fillId="0" borderId="1" xfId="0" applyNumberFormat="1" applyBorder="1" applyAlignment="1">
      <alignment horizontal="center" vertical="center"/>
    </xf>
    <xf numFmtId="9" fontId="9" fillId="0" borderId="1" xfId="0" applyNumberFormat="1" applyFont="1" applyBorder="1" applyAlignment="1">
      <alignment vertical="center" wrapText="1"/>
    </xf>
    <xf numFmtId="173" fontId="9" fillId="0" borderId="12" xfId="152" applyNumberFormat="1" applyFont="1" applyBorder="1" applyAlignment="1">
      <alignment horizontal="center" vertical="center" wrapText="1" shrinkToFit="1"/>
    </xf>
    <xf numFmtId="9" fontId="9" fillId="0" borderId="18" xfId="0" applyNumberFormat="1" applyFont="1" applyBorder="1" applyAlignment="1">
      <alignment horizontal="right" vertical="center" wrapText="1"/>
    </xf>
    <xf numFmtId="170" fontId="9" fillId="2" borderId="1" xfId="0" applyNumberFormat="1" applyFont="1" applyFill="1" applyBorder="1" applyAlignment="1">
      <alignment horizontal="center" vertical="center" wrapText="1"/>
    </xf>
    <xf numFmtId="176" fontId="6" fillId="0" borderId="15" xfId="0" applyNumberFormat="1" applyFont="1" applyBorder="1" applyAlignment="1">
      <alignment horizontal="center" vertical="center" wrapText="1"/>
    </xf>
    <xf numFmtId="175" fontId="49" fillId="2" borderId="1" xfId="142" applyNumberFormat="1" applyFill="1" applyBorder="1" applyAlignment="1">
      <alignment horizontal="center" vertical="center"/>
    </xf>
    <xf numFmtId="4" fontId="0" fillId="0" borderId="1" xfId="0" applyNumberFormat="1" applyBorder="1" applyAlignment="1">
      <alignment horizontal="center" vertical="center"/>
    </xf>
    <xf numFmtId="176" fontId="9" fillId="0" borderId="1" xfId="0" applyNumberFormat="1" applyFont="1" applyBorder="1" applyAlignment="1">
      <alignment horizontal="center" vertical="center" wrapText="1"/>
    </xf>
    <xf numFmtId="171" fontId="5" fillId="0" borderId="1" xfId="0" applyNumberFormat="1" applyFont="1" applyBorder="1" applyAlignment="1">
      <alignment horizontal="center" vertical="center"/>
    </xf>
    <xf numFmtId="0" fontId="6" fillId="0" borderId="1" xfId="0" applyFont="1" applyBorder="1" applyAlignment="1">
      <alignment vertical="center" wrapText="1"/>
    </xf>
    <xf numFmtId="175" fontId="6" fillId="0" borderId="1" xfId="0" applyNumberFormat="1" applyFont="1" applyBorder="1" applyAlignment="1">
      <alignment vertical="center" wrapText="1"/>
    </xf>
    <xf numFmtId="170" fontId="9" fillId="0" borderId="1" xfId="0" applyNumberFormat="1" applyFont="1" applyBorder="1" applyAlignment="1">
      <alignment vertical="center" wrapText="1"/>
    </xf>
    <xf numFmtId="170" fontId="9" fillId="3" borderId="1" xfId="0" applyNumberFormat="1" applyFont="1" applyFill="1" applyBorder="1" applyAlignment="1">
      <alignment horizontal="center" vertical="center" wrapText="1"/>
    </xf>
    <xf numFmtId="176" fontId="9" fillId="3" borderId="1" xfId="0" applyNumberFormat="1" applyFont="1" applyFill="1" applyBorder="1" applyAlignment="1">
      <alignment horizontal="center" vertical="center" wrapText="1"/>
    </xf>
    <xf numFmtId="0" fontId="10" fillId="0" borderId="1" xfId="0" applyFont="1" applyBorder="1" applyAlignment="1">
      <alignment horizontal="center" vertical="center"/>
    </xf>
    <xf numFmtId="176" fontId="6" fillId="2" borderId="15" xfId="0" applyNumberFormat="1" applyFont="1" applyFill="1" applyBorder="1" applyAlignment="1">
      <alignment horizontal="center" vertical="center" wrapText="1"/>
    </xf>
    <xf numFmtId="0" fontId="6" fillId="2" borderId="25" xfId="0" applyFont="1" applyFill="1" applyBorder="1" applyAlignment="1">
      <alignment horizontal="center" vertical="center" wrapText="1"/>
    </xf>
    <xf numFmtId="175" fontId="6" fillId="2" borderId="1" xfId="0" applyNumberFormat="1" applyFont="1" applyFill="1" applyBorder="1" applyAlignment="1">
      <alignment horizontal="center" vertical="center" wrapText="1"/>
    </xf>
    <xf numFmtId="170" fontId="9" fillId="2" borderId="18" xfId="0" applyNumberFormat="1" applyFont="1" applyFill="1" applyBorder="1" applyAlignment="1">
      <alignment horizontal="center" vertical="center" wrapText="1"/>
    </xf>
    <xf numFmtId="176" fontId="9"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170" fontId="9" fillId="0" borderId="18" xfId="0" applyNumberFormat="1" applyFont="1" applyBorder="1" applyAlignment="1">
      <alignment horizontal="center" vertical="center" wrapText="1"/>
    </xf>
    <xf numFmtId="176" fontId="10" fillId="2" borderId="1" xfId="0" applyNumberFormat="1" applyFont="1" applyFill="1" applyBorder="1" applyAlignment="1">
      <alignment horizontal="center" vertical="center"/>
    </xf>
    <xf numFmtId="0" fontId="10" fillId="0" borderId="1" xfId="0" applyFont="1" applyBorder="1">
      <alignment vertical="center"/>
    </xf>
    <xf numFmtId="170" fontId="6" fillId="0" borderId="12" xfId="0" applyNumberFormat="1" applyFont="1" applyBorder="1" applyAlignment="1">
      <alignment horizontal="center" vertical="center" wrapText="1"/>
    </xf>
    <xf numFmtId="0" fontId="6" fillId="0" borderId="26" xfId="0" applyFont="1" applyBorder="1" applyAlignment="1">
      <alignment horizontal="center" vertical="center" wrapText="1"/>
    </xf>
    <xf numFmtId="176" fontId="10" fillId="2" borderId="1" xfId="0" applyNumberFormat="1" applyFont="1" applyFill="1" applyBorder="1">
      <alignment vertical="center"/>
    </xf>
    <xf numFmtId="0" fontId="1" fillId="0" borderId="18" xfId="0" applyFont="1" applyBorder="1">
      <alignment vertical="center"/>
    </xf>
    <xf numFmtId="0" fontId="1" fillId="0" borderId="1" xfId="0" applyFont="1" applyBorder="1">
      <alignment vertical="center"/>
    </xf>
    <xf numFmtId="0" fontId="10" fillId="2" borderId="1" xfId="0" applyFont="1" applyFill="1" applyBorder="1">
      <alignment vertical="center"/>
    </xf>
    <xf numFmtId="0" fontId="6" fillId="0" borderId="1" xfId="0" applyFont="1" applyBorder="1" applyAlignment="1">
      <alignment horizontal="center" vertical="center" wrapText="1"/>
    </xf>
    <xf numFmtId="170" fontId="6" fillId="0" borderId="15" xfId="0" applyNumberFormat="1" applyFont="1" applyBorder="1" applyAlignment="1">
      <alignment horizontal="center" vertical="center" wrapText="1"/>
    </xf>
    <xf numFmtId="176" fontId="7" fillId="0" borderId="15" xfId="0" applyNumberFormat="1" applyFont="1" applyBorder="1" applyAlignment="1">
      <alignment horizontal="right" vertical="center" wrapText="1"/>
    </xf>
    <xf numFmtId="0" fontId="8" fillId="0" borderId="11" xfId="0" applyFont="1" applyBorder="1" applyAlignment="1">
      <alignment horizontal="center" vertical="center" wrapText="1"/>
    </xf>
    <xf numFmtId="170" fontId="7" fillId="0" borderId="1" xfId="0" applyNumberFormat="1" applyFont="1" applyBorder="1" applyAlignment="1">
      <alignment horizontal="right" vertical="center" wrapText="1"/>
    </xf>
    <xf numFmtId="177" fontId="7" fillId="0" borderId="1" xfId="0" applyNumberFormat="1" applyFont="1" applyBorder="1" applyAlignment="1">
      <alignment horizontal="left" vertical="center" wrapText="1"/>
    </xf>
    <xf numFmtId="170" fontId="7" fillId="0" borderId="15" xfId="0" applyNumberFormat="1" applyFont="1" applyBorder="1" applyAlignment="1">
      <alignment horizontal="right" vertical="center" wrapText="1"/>
    </xf>
    <xf numFmtId="176" fontId="6" fillId="0" borderId="27" xfId="0" applyNumberFormat="1" applyFont="1" applyBorder="1" applyAlignment="1">
      <alignment horizontal="center" vertical="center" wrapText="1"/>
    </xf>
    <xf numFmtId="170" fontId="7" fillId="0" borderId="28" xfId="0" applyNumberFormat="1" applyFont="1" applyBorder="1" applyAlignment="1">
      <alignment horizontal="right" vertical="center" wrapText="1"/>
    </xf>
    <xf numFmtId="0" fontId="9" fillId="0" borderId="28" xfId="0" applyFont="1" applyBorder="1">
      <alignment vertical="center"/>
    </xf>
    <xf numFmtId="170" fontId="7" fillId="0" borderId="28" xfId="0" applyNumberFormat="1" applyFont="1" applyBorder="1" applyAlignment="1">
      <alignment horizontal="center" vertical="center" wrapText="1"/>
    </xf>
    <xf numFmtId="10" fontId="7" fillId="0" borderId="28" xfId="1" applyNumberFormat="1" applyFont="1" applyBorder="1" applyAlignment="1">
      <alignment vertical="center"/>
    </xf>
    <xf numFmtId="0" fontId="9" fillId="0" borderId="28" xfId="0" applyFont="1" applyBorder="1" applyAlignment="1">
      <alignment horizontal="left" vertical="center"/>
    </xf>
    <xf numFmtId="0" fontId="6" fillId="0" borderId="28" xfId="0" applyFont="1" applyBorder="1" applyAlignment="1">
      <alignment horizontal="center" vertical="center" wrapText="1"/>
    </xf>
    <xf numFmtId="170" fontId="6" fillId="0" borderId="27" xfId="0" applyNumberFormat="1" applyFont="1" applyBorder="1" applyAlignment="1">
      <alignment horizontal="center" vertical="center" wrapText="1"/>
    </xf>
    <xf numFmtId="0" fontId="12" fillId="0" borderId="6" xfId="140" applyFont="1" applyBorder="1" applyAlignment="1">
      <alignment horizontal="center" vertical="center" wrapText="1"/>
    </xf>
    <xf numFmtId="0" fontId="12" fillId="0" borderId="6" xfId="140" applyFont="1" applyBorder="1" applyAlignment="1">
      <alignment horizontal="left" vertical="center" wrapText="1"/>
    </xf>
    <xf numFmtId="0" fontId="12" fillId="0" borderId="1" xfId="140" applyFont="1" applyBorder="1" applyAlignment="1">
      <alignment horizontal="center" vertical="center" wrapText="1"/>
    </xf>
    <xf numFmtId="0" fontId="12" fillId="0" borderId="1" xfId="140" applyFont="1" applyBorder="1" applyAlignment="1">
      <alignment horizontal="left" vertical="center" wrapText="1"/>
    </xf>
    <xf numFmtId="0" fontId="12" fillId="0" borderId="28" xfId="140" applyFont="1" applyBorder="1" applyAlignment="1">
      <alignment horizontal="center" vertical="center" wrapText="1"/>
    </xf>
    <xf numFmtId="0" fontId="8" fillId="4" borderId="29" xfId="140" applyFont="1" applyFill="1" applyBorder="1" applyAlignment="1">
      <alignment horizontal="left" vertical="center" wrapText="1"/>
    </xf>
    <xf numFmtId="0" fontId="8" fillId="4" borderId="24" xfId="140" applyFont="1" applyFill="1" applyBorder="1" applyAlignment="1">
      <alignment horizontal="left" vertical="center" wrapText="1"/>
    </xf>
    <xf numFmtId="0" fontId="8" fillId="4" borderId="30" xfId="140" applyFont="1" applyFill="1" applyBorder="1" applyAlignment="1">
      <alignment horizontal="left" vertical="center" wrapText="1"/>
    </xf>
    <xf numFmtId="0" fontId="6" fillId="0" borderId="1" xfId="140" applyFont="1" applyBorder="1" applyAlignment="1">
      <alignment horizontal="left" vertical="center" wrapText="1"/>
    </xf>
    <xf numFmtId="4" fontId="6" fillId="0" borderId="1" xfId="0" applyNumberFormat="1" applyFont="1" applyBorder="1" applyAlignment="1">
      <alignment horizontal="center" vertical="center"/>
    </xf>
    <xf numFmtId="0" fontId="1" fillId="0" borderId="1" xfId="140" applyBorder="1"/>
    <xf numFmtId="0" fontId="0" fillId="0" borderId="1" xfId="0" applyBorder="1">
      <alignment vertical="center"/>
    </xf>
    <xf numFmtId="178" fontId="0" fillId="0" borderId="1" xfId="0" applyNumberFormat="1" applyBorder="1" applyAlignment="1">
      <alignment horizontal="center" vertical="center"/>
    </xf>
    <xf numFmtId="0" fontId="8" fillId="0" borderId="1" xfId="140" applyFont="1" applyBorder="1" applyAlignment="1">
      <alignment horizontal="left"/>
    </xf>
    <xf numFmtId="0" fontId="8" fillId="0" borderId="1" xfId="140" applyFont="1" applyBorder="1" applyAlignment="1">
      <alignment horizontal="center"/>
    </xf>
    <xf numFmtId="0" fontId="12" fillId="0" borderId="1" xfId="140" applyFont="1" applyBorder="1"/>
    <xf numFmtId="0" fontId="1" fillId="0" borderId="1" xfId="140" applyBorder="1" applyAlignment="1">
      <alignment horizontal="center"/>
    </xf>
    <xf numFmtId="0" fontId="0" fillId="0" borderId="0" xfId="0" applyAlignment="1">
      <alignment horizontal="center" vertical="center"/>
    </xf>
    <xf numFmtId="14" fontId="0" fillId="0" borderId="1" xfId="0" applyNumberForma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5" fillId="0" borderId="6" xfId="140" applyFont="1" applyBorder="1" applyAlignment="1">
      <alignment horizontal="left" vertical="center" wrapText="1"/>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5" fillId="0" borderId="1" xfId="140" applyFont="1" applyBorder="1" applyAlignment="1">
      <alignment horizontal="left" vertical="center" wrapText="1"/>
    </xf>
    <xf numFmtId="9" fontId="1" fillId="0" borderId="12" xfId="1" applyFont="1" applyFill="1" applyBorder="1" applyAlignment="1">
      <alignment horizontal="center" vertical="center"/>
    </xf>
    <xf numFmtId="9" fontId="1" fillId="0" borderId="13" xfId="1" applyFont="1" applyFill="1" applyBorder="1" applyAlignment="1">
      <alignment horizontal="center" vertical="center"/>
    </xf>
    <xf numFmtId="9" fontId="1" fillId="0" borderId="14" xfId="1" applyFont="1" applyFill="1" applyBorder="1" applyAlignment="1">
      <alignment horizontal="center" vertical="center"/>
    </xf>
    <xf numFmtId="0" fontId="1" fillId="0" borderId="16" xfId="0" applyFont="1" applyBorder="1" applyAlignment="1">
      <alignment horizontal="center" vertical="center"/>
    </xf>
    <xf numFmtId="0" fontId="5" fillId="0" borderId="15" xfId="140" applyFont="1" applyBorder="1" applyAlignment="1">
      <alignment horizontal="left" vertical="center" wrapText="1"/>
    </xf>
    <xf numFmtId="0" fontId="6" fillId="0" borderId="12" xfId="0" applyFont="1" applyBorder="1" applyAlignment="1">
      <alignment vertical="center" wrapText="1"/>
    </xf>
    <xf numFmtId="0" fontId="6" fillId="0" borderId="13" xfId="0" applyFont="1" applyBorder="1" applyAlignment="1">
      <alignment vertical="center" wrapText="1"/>
    </xf>
    <xf numFmtId="0" fontId="6" fillId="0" borderId="16" xfId="0" applyFont="1" applyBorder="1" applyAlignment="1">
      <alignment vertical="center" wrapText="1"/>
    </xf>
    <xf numFmtId="0" fontId="6" fillId="0" borderId="19" xfId="0" applyFont="1" applyBorder="1" applyAlignment="1">
      <alignment horizontal="left" vertical="center" wrapText="1"/>
    </xf>
    <xf numFmtId="0" fontId="6" fillId="0" borderId="20" xfId="0" applyFont="1" applyBorder="1" applyAlignment="1">
      <alignment horizontal="left" vertical="center" wrapText="1"/>
    </xf>
    <xf numFmtId="0" fontId="6" fillId="0" borderId="21" xfId="0" applyFont="1" applyBorder="1" applyAlignment="1">
      <alignment horizontal="left" vertical="center" wrapText="1"/>
    </xf>
    <xf numFmtId="0" fontId="6" fillId="0" borderId="22" xfId="0" applyFont="1" applyBorder="1" applyAlignment="1">
      <alignment horizontal="left" vertical="center" wrapText="1"/>
    </xf>
    <xf numFmtId="0" fontId="8" fillId="0" borderId="11" xfId="0" applyFont="1" applyBorder="1" applyAlignment="1">
      <alignment horizontal="center" vertical="center" wrapText="1"/>
    </xf>
    <xf numFmtId="0" fontId="8" fillId="0" borderId="1"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8" xfId="0" applyFont="1" applyBorder="1" applyAlignment="1">
      <alignment horizontal="center" vertical="center" wrapText="1"/>
    </xf>
    <xf numFmtId="0" fontId="3" fillId="0" borderId="5" xfId="140" applyFont="1" applyBorder="1" applyAlignment="1">
      <alignment horizontal="left" vertical="center" wrapText="1"/>
    </xf>
    <xf numFmtId="0" fontId="3" fillId="0" borderId="11" xfId="140" applyFont="1" applyBorder="1" applyAlignment="1">
      <alignment horizontal="left" vertical="center" wrapText="1"/>
    </xf>
    <xf numFmtId="0" fontId="3" fillId="0" borderId="17" xfId="140" applyFont="1" applyBorder="1" applyAlignment="1">
      <alignment horizontal="left" vertical="center" wrapText="1"/>
    </xf>
    <xf numFmtId="172" fontId="9" fillId="0" borderId="18" xfId="0" applyNumberFormat="1" applyFont="1" applyBorder="1" applyAlignment="1">
      <alignment horizontal="center" vertical="center" wrapText="1"/>
    </xf>
    <xf numFmtId="172" fontId="9" fillId="0" borderId="23" xfId="0" applyNumberFormat="1" applyFont="1" applyBorder="1" applyAlignment="1">
      <alignment horizontal="center" vertical="center" wrapText="1"/>
    </xf>
    <xf numFmtId="0" fontId="11" fillId="0" borderId="2" xfId="140" applyFont="1" applyBorder="1" applyAlignment="1">
      <alignment horizontal="center" vertical="center" wrapText="1"/>
    </xf>
    <xf numFmtId="0" fontId="11" fillId="0" borderId="3" xfId="140" applyFont="1" applyBorder="1" applyAlignment="1">
      <alignment horizontal="center" vertical="center" wrapText="1"/>
    </xf>
    <xf numFmtId="0" fontId="11" fillId="0" borderId="4" xfId="140" applyFont="1" applyBorder="1" applyAlignment="1">
      <alignment horizontal="center" vertical="center" wrapText="1"/>
    </xf>
    <xf numFmtId="0" fontId="5" fillId="0" borderId="19" xfId="140" applyFont="1" applyBorder="1" applyAlignment="1">
      <alignment horizontal="left" vertical="center" wrapText="1"/>
    </xf>
    <xf numFmtId="0" fontId="5" fillId="0" borderId="20" xfId="140" applyFont="1" applyBorder="1" applyAlignment="1">
      <alignment horizontal="left" vertical="center" wrapText="1"/>
    </xf>
    <xf numFmtId="0" fontId="5" fillId="0" borderId="22" xfId="140" applyFont="1" applyBorder="1" applyAlignment="1">
      <alignment horizontal="left" vertical="center" wrapText="1"/>
    </xf>
    <xf numFmtId="0" fontId="8" fillId="0" borderId="1" xfId="140" applyFont="1" applyBorder="1" applyAlignment="1">
      <alignment horizontal="left"/>
    </xf>
    <xf numFmtId="0" fontId="2" fillId="0" borderId="2" xfId="0" applyFont="1" applyBorder="1" applyAlignment="1">
      <alignment horizontal="center" vertical="center"/>
    </xf>
    <xf numFmtId="9" fontId="1" fillId="0" borderId="12" xfId="1" applyFont="1" applyBorder="1" applyAlignment="1">
      <alignment horizontal="center" vertical="center"/>
    </xf>
    <xf numFmtId="9" fontId="1" fillId="0" borderId="13" xfId="1" applyFont="1" applyBorder="1" applyAlignment="1">
      <alignment horizontal="center" vertical="center"/>
    </xf>
    <xf numFmtId="9" fontId="1" fillId="0" borderId="14" xfId="1" applyFont="1" applyBorder="1" applyAlignment="1">
      <alignment horizontal="center" vertical="center"/>
    </xf>
    <xf numFmtId="0" fontId="1" fillId="2" borderId="12" xfId="0" applyFont="1" applyFill="1" applyBorder="1" applyAlignment="1">
      <alignment horizontal="center" vertical="center"/>
    </xf>
    <xf numFmtId="0" fontId="1" fillId="2" borderId="14" xfId="0" applyFont="1" applyFill="1" applyBorder="1" applyAlignment="1">
      <alignment horizontal="center" vertical="center"/>
    </xf>
    <xf numFmtId="172" fontId="9" fillId="0" borderId="24" xfId="0" applyNumberFormat="1" applyFont="1" applyBorder="1" applyAlignment="1">
      <alignment horizontal="center" vertical="center" wrapText="1"/>
    </xf>
    <xf numFmtId="170" fontId="9" fillId="0" borderId="18" xfId="0" applyNumberFormat="1" applyFont="1" applyBorder="1" applyAlignment="1">
      <alignment horizontal="center" vertical="center" wrapText="1"/>
    </xf>
    <xf numFmtId="170" fontId="9" fillId="0" borderId="23" xfId="0" applyNumberFormat="1" applyFont="1" applyBorder="1" applyAlignment="1">
      <alignment horizontal="center" vertical="center" wrapText="1"/>
    </xf>
    <xf numFmtId="9" fontId="9" fillId="0" borderId="18" xfId="0" applyNumberFormat="1" applyFont="1" applyBorder="1" applyAlignment="1">
      <alignment vertical="center" wrapText="1"/>
    </xf>
    <xf numFmtId="9" fontId="9" fillId="0" borderId="23" xfId="0" applyNumberFormat="1" applyFont="1" applyBorder="1" applyAlignment="1">
      <alignment vertical="center" wrapText="1"/>
    </xf>
    <xf numFmtId="0" fontId="1" fillId="0" borderId="0" xfId="0" applyFont="1" applyAlignment="1">
      <alignment horizontal="center" vertical="center"/>
    </xf>
    <xf numFmtId="0" fontId="2" fillId="0" borderId="55" xfId="0" applyFont="1" applyBorder="1" applyAlignment="1">
      <alignment horizontal="center" vertical="center"/>
    </xf>
    <xf numFmtId="0" fontId="1" fillId="0" borderId="54" xfId="0" applyFont="1" applyBorder="1" applyAlignment="1">
      <alignment horizontal="center" vertical="center"/>
    </xf>
    <xf numFmtId="0" fontId="4" fillId="0" borderId="54" xfId="0" applyFont="1" applyBorder="1" applyAlignment="1">
      <alignment horizontal="center" vertical="center"/>
    </xf>
    <xf numFmtId="0" fontId="2" fillId="0" borderId="56" xfId="0" applyFont="1" applyBorder="1" applyAlignment="1">
      <alignment horizontal="center" vertical="center"/>
    </xf>
    <xf numFmtId="0" fontId="2" fillId="0" borderId="53" xfId="0" applyFont="1" applyBorder="1" applyAlignment="1">
      <alignment horizontal="center" vertical="center" wrapText="1"/>
    </xf>
    <xf numFmtId="14" fontId="5" fillId="0" borderId="54" xfId="140" applyNumberFormat="1" applyFont="1" applyBorder="1" applyAlignment="1">
      <alignment horizontal="left" vertical="center" wrapText="1"/>
    </xf>
    <xf numFmtId="0" fontId="5" fillId="0" borderId="54" xfId="140" applyFont="1" applyBorder="1" applyAlignment="1">
      <alignment horizontal="left" vertical="center" wrapText="1"/>
    </xf>
    <xf numFmtId="0" fontId="5" fillId="0" borderId="54" xfId="140" applyFont="1" applyBorder="1" applyAlignment="1">
      <alignment horizontal="center" vertical="center" wrapText="1"/>
    </xf>
    <xf numFmtId="9" fontId="1" fillId="0" borderId="54" xfId="1" applyFont="1" applyFill="1" applyBorder="1" applyAlignment="1">
      <alignment horizontal="center" vertical="center"/>
    </xf>
    <xf numFmtId="0" fontId="6" fillId="0" borderId="54" xfId="0" applyFont="1" applyBorder="1" applyAlignment="1">
      <alignment horizontal="center" vertical="center" wrapText="1"/>
    </xf>
    <xf numFmtId="0" fontId="4" fillId="0" borderId="21" xfId="0" applyFont="1" applyBorder="1" applyAlignment="1">
      <alignment horizontal="center" vertical="center"/>
    </xf>
    <xf numFmtId="0" fontId="4" fillId="0" borderId="0" xfId="0" applyFont="1" applyBorder="1" applyAlignment="1">
      <alignment horizontal="center" vertical="center"/>
    </xf>
  </cellXfs>
  <cellStyles count="154">
    <cellStyle name="20% - 强调文字颜色 1 2" xfId="12" xr:uid="{00000000-0005-0000-0000-00003A000000}"/>
    <cellStyle name="20% - 强调文字颜色 1 4 2 11" xfId="73" xr:uid="{00000000-0005-0000-0000-000077000000}"/>
    <cellStyle name="20% - 强调文字颜色 1 4 2 2 6" xfId="27" xr:uid="{00000000-0005-0000-0000-000049000000}"/>
    <cellStyle name="20% - 强调文字颜色 1 4 3" xfId="41" xr:uid="{00000000-0005-0000-0000-000057000000}"/>
    <cellStyle name="20% - 强调文字颜色 1 4 4 2" xfId="47" xr:uid="{00000000-0005-0000-0000-00005D000000}"/>
    <cellStyle name="20% - 强调文字颜色 1 4 4 4" xfId="15" xr:uid="{00000000-0005-0000-0000-00003D000000}"/>
    <cellStyle name="20% - 强调文字颜色 2 2 3 2 2 2" xfId="24" xr:uid="{00000000-0005-0000-0000-000046000000}"/>
    <cellStyle name="20% - 强调文字颜色 2 4 2" xfId="37" xr:uid="{00000000-0005-0000-0000-000053000000}"/>
    <cellStyle name="20% - 强调文字颜色 2 4 2 2 6" xfId="84" xr:uid="{00000000-0005-0000-0000-000082000000}"/>
    <cellStyle name="20% - 强调文字颜色 2 4 2 3 3" xfId="46" xr:uid="{00000000-0005-0000-0000-00005C000000}"/>
    <cellStyle name="20% - 强调文字颜色 2 4 3 5" xfId="80" xr:uid="{00000000-0005-0000-0000-00007E000000}"/>
    <cellStyle name="20% - 强调文字颜色 2 4 4 3" xfId="57" xr:uid="{00000000-0005-0000-0000-000067000000}"/>
    <cellStyle name="20% - 强调文字颜色 3 2 2 2 7 2" xfId="54" xr:uid="{00000000-0005-0000-0000-000064000000}"/>
    <cellStyle name="20% - 强调文字颜色 3 4 2 2 2 2" xfId="117" xr:uid="{00000000-0005-0000-0000-0000A3000000}"/>
    <cellStyle name="20% - 强调文字颜色 3 4 2 2 6" xfId="104" xr:uid="{00000000-0005-0000-0000-000096000000}"/>
    <cellStyle name="20% - 强调文字颜色 3 4 2 2 8" xfId="14" xr:uid="{00000000-0005-0000-0000-00003C000000}"/>
    <cellStyle name="20% - 强调文字颜色 3 4 2 4 2" xfId="52" xr:uid="{00000000-0005-0000-0000-000062000000}"/>
    <cellStyle name="20% - 强调文字颜色 3 4 2 5 2" xfId="96" xr:uid="{00000000-0005-0000-0000-00008E000000}"/>
    <cellStyle name="20% - 强调文字颜色 4 4 2 4 2" xfId="77" xr:uid="{00000000-0005-0000-0000-00007B000000}"/>
    <cellStyle name="20% - 强调文字颜色 4 4 2 5 2" xfId="59" xr:uid="{00000000-0005-0000-0000-000069000000}"/>
    <cellStyle name="20% - 强调文字颜色 4 4 2 6 2" xfId="66" xr:uid="{00000000-0005-0000-0000-000070000000}"/>
    <cellStyle name="20% - 强调文字颜色 4 4 3 2 4" xfId="31" xr:uid="{00000000-0005-0000-0000-00004D000000}"/>
    <cellStyle name="20% - 强调文字颜色 4 4 3 6" xfId="112" xr:uid="{00000000-0005-0000-0000-00009E000000}"/>
    <cellStyle name="20% - 强调文字颜色 5 3 2 2 3 2" xfId="50" xr:uid="{00000000-0005-0000-0000-000060000000}"/>
    <cellStyle name="20% - 强调文字颜色 5 4 2 11" xfId="120" xr:uid="{00000000-0005-0000-0000-0000A6000000}"/>
    <cellStyle name="20% - 强调文字颜色 5 4 2 2 2" xfId="71" xr:uid="{00000000-0005-0000-0000-000075000000}"/>
    <cellStyle name="20% - 强调文字颜色 5 4 2 3 2" xfId="38" xr:uid="{00000000-0005-0000-0000-000054000000}"/>
    <cellStyle name="20% - 强调文字颜色 5 4 4 4" xfId="29" xr:uid="{00000000-0005-0000-0000-00004B000000}"/>
    <cellStyle name="20% - 强调文字颜色 5 4 8" xfId="111" xr:uid="{00000000-0005-0000-0000-00009D000000}"/>
    <cellStyle name="20% - 强调文字颜色 6 3 2 2 3 3" xfId="6" xr:uid="{00000000-0005-0000-0000-000034000000}"/>
    <cellStyle name="20% - 强调文字颜色 6 4 2 2" xfId="28" xr:uid="{00000000-0005-0000-0000-00004A000000}"/>
    <cellStyle name="20% - 强调文字颜色 6 4 2 2 5" xfId="81" xr:uid="{00000000-0005-0000-0000-00007F000000}"/>
    <cellStyle name="20% - 强调文字颜色 6 4 2 2 6" xfId="82" xr:uid="{00000000-0005-0000-0000-000080000000}"/>
    <cellStyle name="20% - 强调文字颜色 6 4 2 3 4" xfId="39" xr:uid="{00000000-0005-0000-0000-000055000000}"/>
    <cellStyle name="20% - 强调文字颜色 6 4 4 2" xfId="36" xr:uid="{00000000-0005-0000-0000-000052000000}"/>
    <cellStyle name="40% - 强调文字颜色 1 4 2 7" xfId="70" xr:uid="{00000000-0005-0000-0000-000074000000}"/>
    <cellStyle name="40% - 强调文字颜色 2 3 3 2 3 2 2" xfId="4" xr:uid="{00000000-0005-0000-0000-000032000000}"/>
    <cellStyle name="40% - 强调文字颜色 2 4 2 5 2" xfId="30" xr:uid="{00000000-0005-0000-0000-00004C000000}"/>
    <cellStyle name="40% - 强调文字颜色 3 3 2 2 7" xfId="3" xr:uid="{00000000-0005-0000-0000-000031000000}"/>
    <cellStyle name="40% - 强调文字颜色 3 4 3 2 2 2" xfId="102" xr:uid="{00000000-0005-0000-0000-000094000000}"/>
    <cellStyle name="40% - 强调文字颜色 4 2 3 3 3 2" xfId="10" xr:uid="{00000000-0005-0000-0000-000038000000}"/>
    <cellStyle name="40% - 强调文字颜色 4 4 2 4 2" xfId="91" xr:uid="{00000000-0005-0000-0000-000089000000}"/>
    <cellStyle name="40% - 强调文字颜色 5 2 5 3 2" xfId="11" xr:uid="{00000000-0005-0000-0000-000039000000}"/>
    <cellStyle name="40% - 强调文字颜色 5 4 2 4" xfId="108" xr:uid="{00000000-0005-0000-0000-00009A000000}"/>
    <cellStyle name="40% - 强调文字颜色 6 2 2 3 3 3" xfId="18" xr:uid="{00000000-0005-0000-0000-000040000000}"/>
    <cellStyle name="40% - 强调文字颜色 6 4 3 2 4" xfId="92" xr:uid="{00000000-0005-0000-0000-00008A000000}"/>
    <cellStyle name="60% - 强调文字颜色 1 2 3 2 3 4" xfId="5" xr:uid="{00000000-0005-0000-0000-000033000000}"/>
    <cellStyle name="60% - 强调文字颜色 1 4 2 2 2" xfId="62" xr:uid="{00000000-0005-0000-0000-00006C000000}"/>
    <cellStyle name="60% - 强调文字颜色 1 4 2 2 2 2" xfId="94" xr:uid="{00000000-0005-0000-0000-00008C000000}"/>
    <cellStyle name="60% - 强调文字颜色 1 4 2 2 3" xfId="76" xr:uid="{00000000-0005-0000-0000-00007A000000}"/>
    <cellStyle name="60% - 强调文字颜色 1 4 3 5" xfId="103" xr:uid="{00000000-0005-0000-0000-000095000000}"/>
    <cellStyle name="60% - 强调文字颜色 1 4 3 6" xfId="130" xr:uid="{00000000-0005-0000-0000-0000B0000000}"/>
    <cellStyle name="60% - 强调文字颜色 2 3 2 2 2 2 2 2" xfId="17" xr:uid="{00000000-0005-0000-0000-00003F000000}"/>
    <cellStyle name="60% - 强调文字颜色 2 4 2 2 2 2" xfId="55" xr:uid="{00000000-0005-0000-0000-000065000000}"/>
    <cellStyle name="60% - 强调文字颜色 2 4 3" xfId="21" xr:uid="{00000000-0005-0000-0000-000043000000}"/>
    <cellStyle name="60% - 强调文字颜色 2 4 4 3" xfId="58" xr:uid="{00000000-0005-0000-0000-000068000000}"/>
    <cellStyle name="60% - 强调文字颜色 2 4 8" xfId="119" xr:uid="{00000000-0005-0000-0000-0000A5000000}"/>
    <cellStyle name="60% - 强调文字颜色 2 4 9" xfId="113" xr:uid="{00000000-0005-0000-0000-00009F000000}"/>
    <cellStyle name="60% - 强调文字颜色 3 3 3 2 2 2 2" xfId="19" xr:uid="{00000000-0005-0000-0000-000041000000}"/>
    <cellStyle name="60% - 强调文字颜色 3 4 2 2 6" xfId="135" xr:uid="{00000000-0005-0000-0000-0000B5000000}"/>
    <cellStyle name="60% - 强调文字颜色 3 4 3 2" xfId="64" xr:uid="{00000000-0005-0000-0000-00006E000000}"/>
    <cellStyle name="60% - 强调文字颜色 3 4 3 2 2" xfId="65" xr:uid="{00000000-0005-0000-0000-00006F000000}"/>
    <cellStyle name="60% - 强调文字颜色 3 4 3 3" xfId="67" xr:uid="{00000000-0005-0000-0000-000071000000}"/>
    <cellStyle name="60% - 强调文字颜色 3 4 3 5" xfId="131" xr:uid="{00000000-0005-0000-0000-0000B1000000}"/>
    <cellStyle name="60% - 强调文字颜色 4 4 2 2 2 2" xfId="121" xr:uid="{00000000-0005-0000-0000-0000A7000000}"/>
    <cellStyle name="60% - 强调文字颜色 4 4 2 6 2" xfId="93" xr:uid="{00000000-0005-0000-0000-00008B000000}"/>
    <cellStyle name="60% - 强调文字颜色 4 4 2 7 2" xfId="53" xr:uid="{00000000-0005-0000-0000-000063000000}"/>
    <cellStyle name="60% - 强调文字颜色 4 4 2 9" xfId="63" xr:uid="{00000000-0005-0000-0000-00006D000000}"/>
    <cellStyle name="60% - 强调文字颜色 4 4 4 4" xfId="90" xr:uid="{00000000-0005-0000-0000-000088000000}"/>
    <cellStyle name="60% - 强调文字颜色 5 3 2 2 6 2" xfId="48" xr:uid="{00000000-0005-0000-0000-00005E000000}"/>
    <cellStyle name="60% - 强调文字颜色 5 4 2 4 2" xfId="99" xr:uid="{00000000-0005-0000-0000-000091000000}"/>
    <cellStyle name="60% - 强调文字颜色 5 4 2 6 2" xfId="61" xr:uid="{00000000-0005-0000-0000-00006B000000}"/>
    <cellStyle name="60% - 强调文字颜色 5 4 2 7 2" xfId="75" xr:uid="{00000000-0005-0000-0000-000079000000}"/>
    <cellStyle name="60% - 强调文字颜色 5 4 2 8" xfId="56" xr:uid="{00000000-0005-0000-0000-000066000000}"/>
    <cellStyle name="60% - 强调文字颜色 5 4 4" xfId="79" xr:uid="{00000000-0005-0000-0000-00007D000000}"/>
    <cellStyle name="60% - 强调文字颜色 6 2 3 4 3" xfId="78" xr:uid="{00000000-0005-0000-0000-00007C000000}"/>
    <cellStyle name="60% - 强调文字颜色 6 4 2 4 2" xfId="107" xr:uid="{00000000-0005-0000-0000-000099000000}"/>
    <cellStyle name="60% - 强调文字颜色 6 4 2 8" xfId="85" xr:uid="{00000000-0005-0000-0000-000083000000}"/>
    <cellStyle name="60% - 强调文字颜色 6 4 3 2 4" xfId="133" xr:uid="{00000000-0005-0000-0000-0000B3000000}"/>
    <cellStyle name="60% - 强调文字颜色 6 4 3 5" xfId="45" xr:uid="{00000000-0005-0000-0000-00005B000000}"/>
    <cellStyle name="60% - 强调文字颜色 6 4 3 6" xfId="101" xr:uid="{00000000-0005-0000-0000-000093000000}"/>
    <cellStyle name="Normal" xfId="118" xr:uid="{00000000-0005-0000-0000-0000A4000000}"/>
    <cellStyle name="百分比" xfId="1" builtinId="5"/>
    <cellStyle name="百分比 2 2 3" xfId="83" xr:uid="{00000000-0005-0000-0000-000081000000}"/>
    <cellStyle name="标题 1 2 2 4 2" xfId="16" xr:uid="{00000000-0005-0000-0000-00003E000000}"/>
    <cellStyle name="标题 1 4" xfId="123" xr:uid="{00000000-0005-0000-0000-0000A9000000}"/>
    <cellStyle name="标题 2 3 2 3 3 2 2" xfId="97" xr:uid="{00000000-0005-0000-0000-00008F000000}"/>
    <cellStyle name="标题 2 4 2 10" xfId="95" xr:uid="{00000000-0005-0000-0000-00008D000000}"/>
    <cellStyle name="标题 3 2 3 2 10 2" xfId="60" xr:uid="{00000000-0005-0000-0000-00006A000000}"/>
    <cellStyle name="标题 3 4 2 2 2 2" xfId="139" xr:uid="{00000000-0005-0000-0000-0000B9000000}"/>
    <cellStyle name="标题 3 4 2 2 7" xfId="132" xr:uid="{00000000-0005-0000-0000-0000B2000000}"/>
    <cellStyle name="标题 3 4 2 6 2" xfId="106" xr:uid="{00000000-0005-0000-0000-000098000000}"/>
    <cellStyle name="标题 3 4 2 7 2" xfId="136" xr:uid="{00000000-0005-0000-0000-0000B6000000}"/>
    <cellStyle name="标题 3 4 3 3 2" xfId="74" xr:uid="{00000000-0005-0000-0000-000078000000}"/>
    <cellStyle name="标题 4 3 2 2 10" xfId="34" xr:uid="{00000000-0005-0000-0000-000050000000}"/>
    <cellStyle name="标题 6 2 2 9" xfId="20" xr:uid="{00000000-0005-0000-0000-000042000000}"/>
    <cellStyle name="标题 7 2 2" xfId="116" xr:uid="{00000000-0005-0000-0000-0000A2000000}"/>
    <cellStyle name="差 2 3 2" xfId="44" xr:uid="{00000000-0005-0000-0000-00005A000000}"/>
    <cellStyle name="差 4" xfId="129" xr:uid="{00000000-0005-0000-0000-0000AF000000}"/>
    <cellStyle name="常规" xfId="0" builtinId="0"/>
    <cellStyle name="常规 10" xfId="141" xr:uid="{00000000-0005-0000-0000-0000BB000000}"/>
    <cellStyle name="常规 11" xfId="142" xr:uid="{00000000-0005-0000-0000-0000BC000000}"/>
    <cellStyle name="常规 11 2 10" xfId="124" xr:uid="{00000000-0005-0000-0000-0000AA000000}"/>
    <cellStyle name="常规 12" xfId="140" xr:uid="{00000000-0005-0000-0000-0000BA000000}"/>
    <cellStyle name="常规 12 2 11" xfId="143" xr:uid="{00000000-0005-0000-0000-0000BD000000}"/>
    <cellStyle name="常规 15 4" xfId="144" xr:uid="{00000000-0005-0000-0000-0000BE000000}"/>
    <cellStyle name="常规 152 2 2" xfId="152" xr:uid="{00000000-0005-0000-0000-0000C6000000}"/>
    <cellStyle name="常规 17" xfId="146" xr:uid="{00000000-0005-0000-0000-0000C0000000}"/>
    <cellStyle name="常规 2" xfId="153" xr:uid="{00000000-0005-0000-0000-0000C7000000}"/>
    <cellStyle name="常规 2 10 10" xfId="69" xr:uid="{00000000-0005-0000-0000-000073000000}"/>
    <cellStyle name="常规 2 27" xfId="147" xr:uid="{00000000-0005-0000-0000-0000C1000000}"/>
    <cellStyle name="常规 2 35" xfId="148" xr:uid="{00000000-0005-0000-0000-0000C2000000}"/>
    <cellStyle name="常规 78" xfId="149" xr:uid="{00000000-0005-0000-0000-0000C3000000}"/>
    <cellStyle name="常规 8" xfId="98" xr:uid="{00000000-0005-0000-0000-000090000000}"/>
    <cellStyle name="超链接 2" xfId="150" xr:uid="{00000000-0005-0000-0000-0000C4000000}"/>
    <cellStyle name="好 2 2 2 2 2 3" xfId="49" xr:uid="{00000000-0005-0000-0000-00005F000000}"/>
    <cellStyle name="好 4 2 5 2" xfId="128" xr:uid="{00000000-0005-0000-0000-0000AE000000}"/>
    <cellStyle name="汇总 3 2 9 6 2" xfId="13" xr:uid="{00000000-0005-0000-0000-00003B000000}"/>
    <cellStyle name="汇总 4 2 10" xfId="114" xr:uid="{00000000-0005-0000-0000-0000A0000000}"/>
    <cellStyle name="货币 2 7 4 4" xfId="35" xr:uid="{00000000-0005-0000-0000-000051000000}"/>
    <cellStyle name="货币 2 7 4 6" xfId="32" xr:uid="{00000000-0005-0000-0000-00004E000000}"/>
    <cellStyle name="货币[0]" xfId="2" builtinId="7"/>
    <cellStyle name="计算 3 2 4 2 2 3" xfId="8" xr:uid="{00000000-0005-0000-0000-000036000000}"/>
    <cellStyle name="计算 4 2 3 3" xfId="88" xr:uid="{00000000-0005-0000-0000-000086000000}"/>
    <cellStyle name="检查单元格 2 3 2 3 2 2" xfId="42" xr:uid="{00000000-0005-0000-0000-000058000000}"/>
    <cellStyle name="检查单元格 4 2 2 3 2" xfId="115" xr:uid="{00000000-0005-0000-0000-0000A1000000}"/>
    <cellStyle name="解释性文本 3 2 2 2 2 2" xfId="26" xr:uid="{00000000-0005-0000-0000-000048000000}"/>
    <cellStyle name="解释性文本 4 2 2 2" xfId="134" xr:uid="{00000000-0005-0000-0000-0000B4000000}"/>
    <cellStyle name="警告文本 3 2 2 11" xfId="105" xr:uid="{00000000-0005-0000-0000-000097000000}"/>
    <cellStyle name="警告文本 4 2 2 2" xfId="125" xr:uid="{00000000-0005-0000-0000-0000AB000000}"/>
    <cellStyle name="链接单元格 3 4 3" xfId="40" xr:uid="{00000000-0005-0000-0000-000056000000}"/>
    <cellStyle name="链接单元格 4 2 2 2 2" xfId="126" xr:uid="{00000000-0005-0000-0000-0000AC000000}"/>
    <cellStyle name="千位分隔[0] 3 2 2" xfId="87" xr:uid="{00000000-0005-0000-0000-000085000000}"/>
    <cellStyle name="千位分隔[0] 4" xfId="51" xr:uid="{00000000-0005-0000-0000-000061000000}"/>
    <cellStyle name="强调文字颜色 1 3 2 2 2 4 2" xfId="86" xr:uid="{00000000-0005-0000-0000-000084000000}"/>
    <cellStyle name="强调文字颜色 1 4 4" xfId="25" xr:uid="{00000000-0005-0000-0000-000047000000}"/>
    <cellStyle name="强调文字颜色 2 2 2 2 2 2 2 2 2" xfId="33" xr:uid="{00000000-0005-0000-0000-00004F000000}"/>
    <cellStyle name="强调文字颜色 2 4 3 2" xfId="145" xr:uid="{00000000-0005-0000-0000-0000BF000000}"/>
    <cellStyle name="强调文字颜色 3 3 3 2 2 2 2" xfId="68" xr:uid="{00000000-0005-0000-0000-000072000000}"/>
    <cellStyle name="强调文字颜色 3 4 2 10" xfId="138" xr:uid="{00000000-0005-0000-0000-0000B8000000}"/>
    <cellStyle name="强调文字颜色 4 3 2 3 2 2 3" xfId="72" xr:uid="{00000000-0005-0000-0000-000076000000}"/>
    <cellStyle name="强调文字颜色 4 4 2 2 2 2" xfId="122" xr:uid="{00000000-0005-0000-0000-0000A8000000}"/>
    <cellStyle name="强调文字颜色 5 4 4" xfId="109" xr:uid="{00000000-0005-0000-0000-00009B000000}"/>
    <cellStyle name="强调文字颜色 6 2 2 2 3 3" xfId="43" xr:uid="{00000000-0005-0000-0000-000059000000}"/>
    <cellStyle name="强调文字颜色 6 4 4 2 2" xfId="100" xr:uid="{00000000-0005-0000-0000-000092000000}"/>
    <cellStyle name="适中 3 3 2 3 2 2" xfId="23" xr:uid="{00000000-0005-0000-0000-000045000000}"/>
    <cellStyle name="适中 4 3 2 3" xfId="110" xr:uid="{00000000-0005-0000-0000-00009C000000}"/>
    <cellStyle name="输出 3 2 2 4 2 6" xfId="7" xr:uid="{00000000-0005-0000-0000-000035000000}"/>
    <cellStyle name="输出 4 2 2 3 3" xfId="127" xr:uid="{00000000-0005-0000-0000-0000AD000000}"/>
    <cellStyle name="输出 4 2 4 2 2" xfId="89" xr:uid="{00000000-0005-0000-0000-000087000000}"/>
    <cellStyle name="输入 2 5 2 3 3 3" xfId="22" xr:uid="{00000000-0005-0000-0000-000044000000}"/>
    <cellStyle name="输入 4 2 5 2" xfId="137" xr:uid="{00000000-0005-0000-0000-0000B7000000}"/>
    <cellStyle name="注释 3 2 3 4 4 2" xfId="9" xr:uid="{00000000-0005-0000-0000-000037000000}"/>
    <cellStyle name="注释 4 2 4 3" xfId="151" xr:uid="{00000000-0005-0000-0000-0000C5000000}"/>
  </cellStyles>
  <dxfs count="0"/>
  <tableStyles count="0" defaultTableStyle="TableStyleMedium9" defaultPivotStyle="PivotStyleLight16"/>
  <colors>
    <mruColors>
      <color rgb="FF92D05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XFA9"/>
  <sheetViews>
    <sheetView tabSelected="1" workbookViewId="0">
      <selection activeCell="M8" sqref="M8"/>
    </sheetView>
  </sheetViews>
  <sheetFormatPr defaultColWidth="9.875" defaultRowHeight="14.25"/>
  <cols>
    <col min="1" max="1" width="21.25" style="2" customWidth="1"/>
    <col min="2" max="2" width="14" style="2" customWidth="1"/>
    <col min="3" max="4" width="20.375" style="2" customWidth="1"/>
    <col min="5" max="5" width="16.375" style="2" customWidth="1"/>
    <col min="6" max="6" width="15.25" style="2" customWidth="1"/>
    <col min="7" max="7" width="19.125" style="2" customWidth="1"/>
    <col min="8" max="8" width="19" style="2" customWidth="1"/>
    <col min="9" max="9" width="18.875" style="2" customWidth="1"/>
    <col min="10" max="10" width="17.375" style="2" customWidth="1"/>
    <col min="11" max="11" width="15.625" style="2" customWidth="1"/>
    <col min="12" max="12" width="10.625" style="2" customWidth="1"/>
    <col min="13" max="13" width="25.25" style="2" customWidth="1"/>
    <col min="14" max="14" width="10" style="2" customWidth="1"/>
    <col min="15" max="16381" width="9.875" style="2"/>
  </cols>
  <sheetData>
    <row r="1" spans="1:13" s="2" customFormat="1" ht="45.2" customHeight="1">
      <c r="A1" s="150" t="s">
        <v>68</v>
      </c>
      <c r="B1" s="149"/>
      <c r="C1" s="149"/>
      <c r="D1" s="149"/>
      <c r="E1" s="149"/>
      <c r="F1" s="149"/>
      <c r="G1" s="149"/>
      <c r="H1" s="149"/>
      <c r="I1" s="149"/>
      <c r="J1" s="149"/>
      <c r="K1" s="149"/>
      <c r="L1" s="149"/>
      <c r="M1" s="146"/>
    </row>
    <row r="2" spans="1:13" s="2" customFormat="1" ht="20.100000000000001" customHeight="1">
      <c r="A2" s="148" t="s">
        <v>0</v>
      </c>
      <c r="B2" s="147"/>
      <c r="C2" s="147"/>
      <c r="D2" s="147"/>
      <c r="E2" s="148" t="s">
        <v>1</v>
      </c>
      <c r="F2" s="147"/>
      <c r="G2" s="147"/>
      <c r="H2" s="148" t="s">
        <v>3</v>
      </c>
      <c r="I2" s="151"/>
      <c r="J2" s="152"/>
      <c r="K2" s="148" t="s">
        <v>4</v>
      </c>
      <c r="L2" s="153" t="s">
        <v>5</v>
      </c>
      <c r="M2" s="153"/>
    </row>
    <row r="3" spans="1:13" s="2" customFormat="1" ht="20.100000000000001" customHeight="1">
      <c r="A3" s="148" t="s">
        <v>6</v>
      </c>
      <c r="B3" s="147"/>
      <c r="C3" s="147"/>
      <c r="D3" s="147"/>
      <c r="E3" s="148" t="s">
        <v>69</v>
      </c>
      <c r="F3" s="147"/>
      <c r="G3" s="147"/>
      <c r="H3" s="148" t="s">
        <v>72</v>
      </c>
      <c r="I3" s="152"/>
      <c r="J3" s="152"/>
      <c r="K3" s="148" t="s">
        <v>10</v>
      </c>
      <c r="L3" s="147" t="s">
        <v>11</v>
      </c>
      <c r="M3" s="147"/>
    </row>
    <row r="4" spans="1:13" s="2" customFormat="1" ht="20.100000000000001" customHeight="1">
      <c r="A4" s="148" t="s">
        <v>70</v>
      </c>
      <c r="B4" s="154"/>
      <c r="C4" s="154"/>
      <c r="D4" s="154"/>
      <c r="E4" s="148" t="s">
        <v>71</v>
      </c>
      <c r="F4" s="147"/>
      <c r="G4" s="147"/>
      <c r="H4" s="148" t="s">
        <v>74</v>
      </c>
      <c r="I4" s="147"/>
      <c r="J4" s="147"/>
      <c r="K4" s="147"/>
      <c r="L4" s="147"/>
      <c r="M4" s="147"/>
    </row>
    <row r="5" spans="1:13" s="2" customFormat="1" ht="20.100000000000001" customHeight="1">
      <c r="A5" s="148" t="s">
        <v>76</v>
      </c>
      <c r="B5" s="106"/>
      <c r="C5" s="107"/>
      <c r="D5" s="107"/>
      <c r="E5" s="107"/>
      <c r="F5" s="107"/>
      <c r="G5" s="107"/>
      <c r="H5" s="107"/>
      <c r="I5" s="107"/>
      <c r="J5" s="107"/>
      <c r="K5" s="107"/>
      <c r="L5" s="107"/>
      <c r="M5" s="108"/>
    </row>
    <row r="6" spans="1:13" s="2" customFormat="1" ht="84.95" customHeight="1">
      <c r="A6" s="148" t="s">
        <v>73</v>
      </c>
      <c r="B6" s="155"/>
      <c r="C6" s="155"/>
      <c r="D6" s="155"/>
      <c r="E6" s="155"/>
      <c r="F6" s="155"/>
      <c r="G6" s="155"/>
      <c r="H6" s="155"/>
      <c r="I6" s="155"/>
      <c r="J6" s="155"/>
      <c r="K6" s="155"/>
      <c r="L6" s="155"/>
      <c r="M6" s="155"/>
    </row>
    <row r="7" spans="1:13" s="2" customFormat="1" ht="83.1" customHeight="1">
      <c r="A7" s="148" t="s">
        <v>75</v>
      </c>
      <c r="B7" s="155"/>
      <c r="C7" s="155"/>
      <c r="D7" s="155"/>
      <c r="E7" s="155"/>
      <c r="F7" s="155"/>
      <c r="G7" s="155"/>
      <c r="H7" s="155"/>
      <c r="I7" s="155"/>
      <c r="J7" s="155"/>
      <c r="K7" s="155"/>
      <c r="L7" s="155"/>
      <c r="M7" s="155"/>
    </row>
    <row r="8" spans="1:13" customFormat="1">
      <c r="A8" s="156" t="s">
        <v>77</v>
      </c>
      <c r="B8" s="145" t="s">
        <v>78</v>
      </c>
      <c r="C8" s="145" t="s">
        <v>79</v>
      </c>
      <c r="D8" s="145" t="s">
        <v>80</v>
      </c>
      <c r="E8" s="145" t="s">
        <v>81</v>
      </c>
      <c r="F8" s="2"/>
      <c r="G8" s="2"/>
      <c r="H8" s="2"/>
      <c r="I8" s="2"/>
      <c r="J8" s="2"/>
      <c r="K8" s="2"/>
      <c r="L8" s="2"/>
      <c r="M8" s="2"/>
    </row>
    <row r="9" spans="1:13">
      <c r="A9" s="157"/>
    </row>
  </sheetData>
  <mergeCells count="16">
    <mergeCell ref="A8:A9"/>
    <mergeCell ref="L2:M2"/>
    <mergeCell ref="L3:M3"/>
    <mergeCell ref="I4:M4"/>
    <mergeCell ref="B6:M6"/>
    <mergeCell ref="B7:M7"/>
    <mergeCell ref="B5:M5"/>
    <mergeCell ref="B4:D4"/>
    <mergeCell ref="F4:G4"/>
    <mergeCell ref="A1:M1"/>
    <mergeCell ref="B2:D2"/>
    <mergeCell ref="F2:G2"/>
    <mergeCell ref="I2:J2"/>
    <mergeCell ref="B3:D3"/>
    <mergeCell ref="F3:G3"/>
    <mergeCell ref="I3:J3"/>
  </mergeCells>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7"/>
  <sheetViews>
    <sheetView workbookViewId="0">
      <selection activeCell="A2" sqref="A2:A11"/>
    </sheetView>
  </sheetViews>
  <sheetFormatPr defaultColWidth="9" defaultRowHeight="13.5"/>
  <cols>
    <col min="1" max="1" width="16.875" customWidth="1"/>
    <col min="2" max="3" width="12.375" customWidth="1"/>
    <col min="5" max="5" width="10.5"/>
  </cols>
  <sheetData>
    <row r="1" spans="1:3" s="94" customFormat="1" ht="30" customHeight="1">
      <c r="A1" s="1" t="s">
        <v>34</v>
      </c>
      <c r="B1" s="1" t="s">
        <v>35</v>
      </c>
      <c r="C1" s="1" t="s">
        <v>36</v>
      </c>
    </row>
    <row r="2" spans="1:3" s="94" customFormat="1" ht="30" customHeight="1">
      <c r="A2" s="1">
        <v>100</v>
      </c>
      <c r="B2" s="1" t="s">
        <v>37</v>
      </c>
      <c r="C2" s="95">
        <v>45861</v>
      </c>
    </row>
    <row r="3" spans="1:3" s="94" customFormat="1" ht="30" customHeight="1">
      <c r="A3" s="1">
        <v>100</v>
      </c>
      <c r="B3" s="1" t="s">
        <v>37</v>
      </c>
      <c r="C3" s="95">
        <v>45866</v>
      </c>
    </row>
    <row r="4" spans="1:3" s="94" customFormat="1" ht="30" customHeight="1">
      <c r="A4" s="1">
        <v>50</v>
      </c>
      <c r="B4" s="1" t="s">
        <v>37</v>
      </c>
      <c r="C4" s="95">
        <v>45884</v>
      </c>
    </row>
    <row r="5" spans="1:3" ht="33.950000000000003" customHeight="1">
      <c r="A5" s="1">
        <v>101.35929</v>
      </c>
      <c r="B5" s="1" t="s">
        <v>37</v>
      </c>
      <c r="C5" s="95">
        <v>45987</v>
      </c>
    </row>
    <row r="6" spans="1:3" ht="30.95" customHeight="1">
      <c r="A6" s="1">
        <v>150</v>
      </c>
      <c r="B6" s="1" t="s">
        <v>37</v>
      </c>
      <c r="C6" s="95">
        <v>46049</v>
      </c>
    </row>
    <row r="7" spans="1:3" ht="30.95" customHeight="1">
      <c r="A7" s="1">
        <v>100</v>
      </c>
      <c r="B7" s="1" t="s">
        <v>37</v>
      </c>
      <c r="C7" s="95">
        <v>46050</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37"/>
  <sheetViews>
    <sheetView zoomScale="90" zoomScaleNormal="90" workbookViewId="0">
      <selection activeCell="C2" sqref="C2:D2"/>
    </sheetView>
  </sheetViews>
  <sheetFormatPr defaultColWidth="9" defaultRowHeight="13.5"/>
  <cols>
    <col min="1" max="1" width="17.375" customWidth="1"/>
    <col min="2" max="2" width="12.625" customWidth="1"/>
    <col min="3" max="3" width="15.75" customWidth="1"/>
    <col min="4" max="10" width="12.625" customWidth="1"/>
    <col min="11" max="11" width="27.875" customWidth="1"/>
  </cols>
  <sheetData>
    <row r="1" spans="1:11" ht="59.25" customHeight="1">
      <c r="A1" s="127" t="s">
        <v>38</v>
      </c>
      <c r="B1" s="128"/>
      <c r="C1" s="128"/>
      <c r="D1" s="128"/>
      <c r="E1" s="128"/>
      <c r="F1" s="128"/>
      <c r="G1" s="128"/>
      <c r="H1" s="128"/>
      <c r="I1" s="128"/>
      <c r="J1" s="128"/>
      <c r="K1" s="129"/>
    </row>
    <row r="2" spans="1:11" ht="30" customHeight="1">
      <c r="A2" s="122" t="s">
        <v>39</v>
      </c>
      <c r="B2" s="77" t="s">
        <v>0</v>
      </c>
      <c r="C2" s="101"/>
      <c r="D2" s="101"/>
      <c r="E2" s="78" t="s">
        <v>1</v>
      </c>
      <c r="F2" s="5" t="s">
        <v>2</v>
      </c>
      <c r="G2" s="78" t="s">
        <v>3</v>
      </c>
      <c r="H2" s="101"/>
      <c r="I2" s="101"/>
      <c r="J2" s="78" t="s">
        <v>4</v>
      </c>
      <c r="K2" s="6" t="s">
        <v>5</v>
      </c>
    </row>
    <row r="3" spans="1:11" ht="30" customHeight="1">
      <c r="A3" s="123"/>
      <c r="B3" s="79" t="s">
        <v>6</v>
      </c>
      <c r="C3" s="105"/>
      <c r="D3" s="105"/>
      <c r="E3" s="80" t="s">
        <v>7</v>
      </c>
      <c r="F3" s="8" t="s">
        <v>8</v>
      </c>
      <c r="G3" s="80" t="s">
        <v>9</v>
      </c>
      <c r="H3" s="105" t="s">
        <v>40</v>
      </c>
      <c r="I3" s="105"/>
      <c r="J3" s="80" t="s">
        <v>10</v>
      </c>
      <c r="K3" s="10" t="s">
        <v>11</v>
      </c>
    </row>
    <row r="4" spans="1:11" ht="30" customHeight="1">
      <c r="A4" s="123"/>
      <c r="B4" s="79" t="s">
        <v>12</v>
      </c>
      <c r="C4" s="105"/>
      <c r="D4" s="105"/>
      <c r="E4" s="80" t="s">
        <v>13</v>
      </c>
      <c r="F4" s="8">
        <v>0</v>
      </c>
      <c r="G4" s="80" t="s">
        <v>14</v>
      </c>
      <c r="H4" s="105" t="s">
        <v>41</v>
      </c>
      <c r="I4" s="105"/>
      <c r="J4" s="105"/>
      <c r="K4" s="110"/>
    </row>
    <row r="5" spans="1:11" ht="30" customHeight="1">
      <c r="A5" s="123"/>
      <c r="B5" s="79" t="s">
        <v>15</v>
      </c>
      <c r="C5" s="105" t="s">
        <v>42</v>
      </c>
      <c r="D5" s="105"/>
      <c r="E5" s="105"/>
      <c r="F5" s="80" t="s">
        <v>16</v>
      </c>
      <c r="G5" s="105"/>
      <c r="H5" s="105"/>
      <c r="I5" s="105"/>
      <c r="J5" s="105"/>
      <c r="K5" s="110"/>
    </row>
    <row r="6" spans="1:11" ht="99.95" customHeight="1">
      <c r="A6" s="123"/>
      <c r="B6" s="79" t="s">
        <v>17</v>
      </c>
      <c r="C6" s="105"/>
      <c r="D6" s="105"/>
      <c r="E6" s="105"/>
      <c r="F6" s="105"/>
      <c r="G6" s="105"/>
      <c r="H6" s="105"/>
      <c r="I6" s="105"/>
      <c r="J6" s="105"/>
      <c r="K6" s="110"/>
    </row>
    <row r="7" spans="1:11" ht="64.5" customHeight="1">
      <c r="A7" s="124"/>
      <c r="B7" s="81" t="s">
        <v>18</v>
      </c>
      <c r="C7" s="130"/>
      <c r="D7" s="131"/>
      <c r="E7" s="131"/>
      <c r="F7" s="131"/>
      <c r="G7" s="131"/>
      <c r="H7" s="131"/>
      <c r="I7" s="131"/>
      <c r="J7" s="131"/>
      <c r="K7" s="132"/>
    </row>
    <row r="8" spans="1:11" ht="71.099999999999994" customHeight="1">
      <c r="A8" s="82" t="s">
        <v>19</v>
      </c>
      <c r="B8" s="83" t="s">
        <v>0</v>
      </c>
      <c r="C8" s="83" t="s">
        <v>43</v>
      </c>
      <c r="D8" s="83" t="s">
        <v>44</v>
      </c>
      <c r="E8" s="83" t="s">
        <v>45</v>
      </c>
      <c r="F8" s="83" t="s">
        <v>46</v>
      </c>
      <c r="G8" s="83" t="s">
        <v>47</v>
      </c>
      <c r="H8" s="83" t="s">
        <v>48</v>
      </c>
      <c r="I8" s="83" t="s">
        <v>49</v>
      </c>
      <c r="J8" s="83" t="s">
        <v>27</v>
      </c>
      <c r="K8" s="84" t="s">
        <v>50</v>
      </c>
    </row>
    <row r="9" spans="1:11" ht="30" customHeight="1">
      <c r="A9" s="20"/>
      <c r="B9" s="19"/>
      <c r="C9" s="20"/>
      <c r="D9" s="85"/>
      <c r="E9" s="20"/>
      <c r="F9" s="1"/>
      <c r="G9" s="86"/>
      <c r="H9" s="20"/>
      <c r="I9" s="85"/>
      <c r="J9" s="85"/>
      <c r="K9" s="10"/>
    </row>
    <row r="10" spans="1:11" ht="30" customHeight="1">
      <c r="A10" s="20"/>
      <c r="B10" s="19"/>
      <c r="C10" s="20"/>
      <c r="D10" s="85"/>
      <c r="E10" s="20"/>
      <c r="F10" s="1"/>
      <c r="G10" s="86"/>
      <c r="H10" s="20"/>
      <c r="I10" s="85"/>
      <c r="J10" s="85"/>
      <c r="K10" s="10"/>
    </row>
    <row r="11" spans="1:11" ht="30" customHeight="1">
      <c r="A11" s="20"/>
      <c r="B11" s="20"/>
      <c r="C11" s="19"/>
      <c r="D11" s="85"/>
      <c r="E11" s="20"/>
      <c r="F11" s="1"/>
      <c r="G11" s="19"/>
      <c r="H11" s="20"/>
      <c r="I11" s="85"/>
      <c r="J11" s="85"/>
      <c r="K11" s="8"/>
    </row>
    <row r="12" spans="1:11" ht="24.95" customHeight="1">
      <c r="A12" s="20"/>
      <c r="B12" s="37"/>
      <c r="C12" s="38"/>
      <c r="D12" s="87"/>
      <c r="E12" s="20"/>
      <c r="F12" s="87"/>
      <c r="G12" s="87"/>
      <c r="H12" s="87"/>
      <c r="I12" s="87"/>
      <c r="J12" s="87"/>
      <c r="K12" s="87"/>
    </row>
    <row r="13" spans="1:11" ht="14.25">
      <c r="A13" s="20"/>
      <c r="B13" s="37"/>
      <c r="C13" s="38"/>
      <c r="D13" s="87"/>
      <c r="E13" s="20"/>
      <c r="F13" s="87"/>
      <c r="G13" s="87"/>
      <c r="H13" s="87"/>
      <c r="I13" s="87"/>
      <c r="J13" s="87"/>
      <c r="K13" s="87"/>
    </row>
    <row r="14" spans="1:11" ht="14.25">
      <c r="A14" s="20"/>
      <c r="B14" s="37"/>
      <c r="C14" s="38"/>
      <c r="D14" s="87"/>
      <c r="E14" s="20"/>
      <c r="F14" s="87"/>
      <c r="G14" s="87"/>
      <c r="H14" s="87"/>
      <c r="I14" s="87"/>
      <c r="J14" s="87"/>
      <c r="K14" s="87"/>
    </row>
    <row r="15" spans="1:11" ht="14.25">
      <c r="A15" s="20"/>
      <c r="B15" s="37"/>
      <c r="C15" s="38"/>
      <c r="D15" s="87"/>
      <c r="E15" s="20"/>
      <c r="F15" s="87"/>
      <c r="G15" s="87"/>
      <c r="H15" s="87"/>
      <c r="I15" s="87"/>
      <c r="J15" s="87"/>
      <c r="K15" s="87"/>
    </row>
    <row r="16" spans="1:11">
      <c r="A16" s="20"/>
      <c r="B16" s="37"/>
      <c r="C16" s="38"/>
      <c r="D16" s="88"/>
      <c r="E16" s="20"/>
      <c r="F16" s="88"/>
      <c r="G16" s="88"/>
      <c r="H16" s="88"/>
      <c r="I16" s="88"/>
      <c r="J16" s="88"/>
      <c r="K16" s="88"/>
    </row>
    <row r="17" spans="1:11">
      <c r="A17" s="20"/>
      <c r="B17" s="37"/>
      <c r="C17" s="38"/>
      <c r="D17" s="88"/>
      <c r="E17" s="20"/>
      <c r="F17" s="88"/>
      <c r="G17" s="88"/>
      <c r="H17" s="88"/>
      <c r="I17" s="88"/>
      <c r="J17" s="88"/>
      <c r="K17" s="88"/>
    </row>
    <row r="18" spans="1:11">
      <c r="A18" s="20"/>
      <c r="B18" s="37"/>
      <c r="C18" s="37"/>
      <c r="D18" s="88"/>
      <c r="E18" s="20"/>
      <c r="F18" s="88"/>
      <c r="G18" s="88"/>
      <c r="H18" s="88"/>
      <c r="I18" s="88"/>
      <c r="J18" s="88"/>
      <c r="K18" s="88"/>
    </row>
    <row r="19" spans="1:11">
      <c r="A19" s="1"/>
      <c r="B19" s="37"/>
      <c r="C19" s="37"/>
      <c r="D19" s="88"/>
      <c r="E19" s="1"/>
      <c r="F19" s="88"/>
      <c r="G19" s="88"/>
      <c r="H19" s="88"/>
      <c r="I19" s="88"/>
      <c r="J19" s="88"/>
      <c r="K19" s="88"/>
    </row>
    <row r="20" spans="1:11">
      <c r="A20" s="1"/>
      <c r="B20" s="37"/>
      <c r="C20" s="37"/>
      <c r="D20" s="88"/>
      <c r="E20" s="20"/>
      <c r="F20" s="88"/>
      <c r="G20" s="88"/>
      <c r="H20" s="88"/>
      <c r="I20" s="88"/>
      <c r="J20" s="88"/>
      <c r="K20" s="88"/>
    </row>
    <row r="21" spans="1:11">
      <c r="A21" s="1"/>
      <c r="B21" s="37"/>
      <c r="C21" s="37"/>
      <c r="D21" s="88"/>
      <c r="E21" s="20"/>
      <c r="F21" s="88"/>
      <c r="G21" s="88"/>
      <c r="H21" s="88"/>
      <c r="I21" s="88"/>
      <c r="J21" s="88"/>
      <c r="K21" s="88"/>
    </row>
    <row r="22" spans="1:11">
      <c r="A22" s="1"/>
      <c r="B22" s="37"/>
      <c r="C22" s="37"/>
      <c r="D22" s="88"/>
      <c r="E22" s="20"/>
      <c r="F22" s="88"/>
      <c r="G22" s="88"/>
      <c r="H22" s="88"/>
      <c r="I22" s="88"/>
      <c r="J22" s="88"/>
      <c r="K22" s="88"/>
    </row>
    <row r="23" spans="1:11">
      <c r="A23" s="1"/>
      <c r="B23" s="37"/>
      <c r="C23" s="37"/>
      <c r="D23" s="88"/>
      <c r="E23" s="20"/>
      <c r="F23" s="88"/>
      <c r="G23" s="88"/>
      <c r="H23" s="88"/>
      <c r="I23" s="88"/>
      <c r="J23" s="88"/>
      <c r="K23" s="88"/>
    </row>
    <row r="24" spans="1:11">
      <c r="A24" s="1"/>
      <c r="B24" s="37"/>
      <c r="C24" s="37"/>
      <c r="D24" s="88"/>
      <c r="E24" s="20"/>
      <c r="F24" s="88"/>
      <c r="G24" s="88"/>
      <c r="H24" s="88"/>
      <c r="I24" s="88"/>
      <c r="J24" s="88"/>
      <c r="K24" s="88"/>
    </row>
    <row r="25" spans="1:11">
      <c r="A25" s="1"/>
      <c r="B25" s="1"/>
      <c r="C25" s="89"/>
      <c r="D25" s="31"/>
      <c r="E25" s="20"/>
      <c r="F25" s="88"/>
      <c r="G25" s="88"/>
      <c r="H25" s="88"/>
      <c r="I25" s="88"/>
      <c r="J25" s="88"/>
      <c r="K25" s="88"/>
    </row>
    <row r="26" spans="1:11">
      <c r="A26" s="1"/>
      <c r="B26" s="1"/>
      <c r="C26" s="89"/>
      <c r="D26" s="31"/>
      <c r="E26" s="20"/>
      <c r="F26" s="88"/>
      <c r="G26" s="88"/>
      <c r="H26" s="88"/>
      <c r="I26" s="88"/>
      <c r="J26" s="88"/>
      <c r="K26" s="88"/>
    </row>
    <row r="27" spans="1:11" ht="14.25">
      <c r="A27" s="1"/>
      <c r="B27" s="1"/>
      <c r="C27" s="89"/>
      <c r="D27" s="31"/>
      <c r="E27" s="20"/>
      <c r="F27" s="87"/>
      <c r="G27" s="87"/>
      <c r="H27" s="87"/>
      <c r="I27" s="87"/>
      <c r="J27" s="87"/>
      <c r="K27" s="87"/>
    </row>
    <row r="28" spans="1:11" ht="14.25">
      <c r="A28" s="87"/>
      <c r="B28" s="87"/>
      <c r="C28" s="87"/>
      <c r="D28" s="87"/>
      <c r="E28" s="87"/>
      <c r="F28" s="87"/>
      <c r="G28" s="87"/>
      <c r="H28" s="87"/>
      <c r="I28" s="87"/>
      <c r="J28" s="87"/>
      <c r="K28" s="87"/>
    </row>
    <row r="29" spans="1:11" ht="14.25">
      <c r="A29" s="87"/>
      <c r="B29" s="87"/>
      <c r="C29" s="87"/>
      <c r="D29" s="87"/>
      <c r="E29" s="87"/>
      <c r="F29" s="87"/>
      <c r="G29" s="87"/>
      <c r="H29" s="87"/>
      <c r="I29" s="87"/>
      <c r="J29" s="87"/>
      <c r="K29" s="87"/>
    </row>
    <row r="30" spans="1:11" ht="14.25">
      <c r="A30" s="87"/>
      <c r="B30" s="87"/>
      <c r="C30" s="87"/>
      <c r="D30" s="87"/>
      <c r="E30" s="87"/>
      <c r="F30" s="87"/>
      <c r="G30" s="87"/>
      <c r="H30" s="87"/>
      <c r="I30" s="87"/>
      <c r="J30" s="87"/>
      <c r="K30" s="87"/>
    </row>
    <row r="31" spans="1:11" ht="14.25">
      <c r="A31" s="90" t="s">
        <v>30</v>
      </c>
      <c r="B31" s="91">
        <f>SUM(B9:B30)</f>
        <v>0</v>
      </c>
      <c r="C31" s="91">
        <f>SUM(C9:C30)</f>
        <v>0</v>
      </c>
      <c r="D31" s="91"/>
      <c r="E31" s="91"/>
      <c r="F31" s="91"/>
      <c r="G31" s="91"/>
      <c r="H31" s="87"/>
      <c r="I31" s="87"/>
      <c r="J31" s="87"/>
      <c r="K31" s="87"/>
    </row>
    <row r="32" spans="1:11" ht="14.25">
      <c r="A32" s="133" t="s">
        <v>31</v>
      </c>
      <c r="B32" s="133"/>
      <c r="C32" s="91">
        <f>C31-G32</f>
        <v>0</v>
      </c>
      <c r="D32" s="91"/>
      <c r="E32" s="91"/>
      <c r="F32" s="91"/>
      <c r="G32" s="91">
        <f>SUM(G9:G30)</f>
        <v>0</v>
      </c>
      <c r="H32" s="87"/>
      <c r="I32" s="87"/>
      <c r="J32" s="87"/>
      <c r="K32" s="87"/>
    </row>
    <row r="33" spans="1:11" ht="14.25">
      <c r="A33" s="133" t="s">
        <v>32</v>
      </c>
      <c r="B33" s="133"/>
      <c r="C33" s="91">
        <f>SUM(C9:C30)</f>
        <v>0</v>
      </c>
      <c r="D33" s="91"/>
      <c r="E33" s="91"/>
      <c r="F33" s="91" t="s">
        <v>33</v>
      </c>
      <c r="G33" s="91" t="e">
        <f>G32/C33</f>
        <v>#DIV/0!</v>
      </c>
      <c r="H33" s="87"/>
      <c r="I33" s="87"/>
      <c r="J33" s="87"/>
      <c r="K33" s="92">
        <f>SUM(K9:K30)</f>
        <v>0</v>
      </c>
    </row>
    <row r="34" spans="1:11" ht="14.25">
      <c r="A34" s="93"/>
      <c r="B34" s="93"/>
      <c r="C34" s="93"/>
      <c r="D34" s="93"/>
      <c r="E34" s="93"/>
      <c r="F34" s="93"/>
      <c r="G34" s="93"/>
      <c r="H34" s="87"/>
      <c r="I34" s="87"/>
      <c r="J34" s="87"/>
      <c r="K34" s="87"/>
    </row>
    <row r="35" spans="1:11">
      <c r="A35" s="1"/>
      <c r="B35" s="1"/>
      <c r="C35" s="1"/>
      <c r="D35" s="1"/>
      <c r="E35" s="1"/>
      <c r="F35" s="1"/>
      <c r="G35" s="1"/>
      <c r="H35" s="88"/>
      <c r="I35" s="88"/>
      <c r="J35" s="88"/>
      <c r="K35" s="88"/>
    </row>
    <row r="36" spans="1:11">
      <c r="A36" s="88"/>
      <c r="B36" s="88"/>
      <c r="C36" s="88"/>
      <c r="D36" s="88"/>
      <c r="E36" s="88"/>
      <c r="F36" s="88"/>
      <c r="G36" s="88"/>
      <c r="H36" s="88"/>
      <c r="I36" s="88"/>
      <c r="J36" s="88"/>
      <c r="K36" s="88"/>
    </row>
    <row r="37" spans="1:11" ht="14.25">
      <c r="A37" s="87"/>
      <c r="B37" s="87"/>
      <c r="C37" s="87"/>
      <c r="D37" s="87"/>
      <c r="E37" s="87"/>
      <c r="F37" s="87"/>
      <c r="G37" s="87"/>
      <c r="H37" s="87"/>
      <c r="I37" s="87"/>
      <c r="J37" s="87"/>
      <c r="K37" s="87"/>
    </row>
  </sheetData>
  <mergeCells count="14">
    <mergeCell ref="C7:K7"/>
    <mergeCell ref="A32:B32"/>
    <mergeCell ref="A33:B33"/>
    <mergeCell ref="A2:A7"/>
    <mergeCell ref="C4:D4"/>
    <mergeCell ref="H4:K4"/>
    <mergeCell ref="C5:E5"/>
    <mergeCell ref="G5:K5"/>
    <mergeCell ref="C6:K6"/>
    <mergeCell ref="A1:K1"/>
    <mergeCell ref="C2:D2"/>
    <mergeCell ref="H2:I2"/>
    <mergeCell ref="C3:D3"/>
    <mergeCell ref="H3:I3"/>
  </mergeCells>
  <pageMargins left="0.7" right="0.7" top="0.75" bottom="0.75" header="0.3" footer="0.3"/>
  <pageSetup paperSize="9"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46"/>
  <sheetViews>
    <sheetView workbookViewId="0">
      <selection activeCell="C46" sqref="C46"/>
    </sheetView>
  </sheetViews>
  <sheetFormatPr defaultColWidth="9.875" defaultRowHeight="14.25"/>
  <cols>
    <col min="1" max="1" width="21.25" style="2" customWidth="1"/>
    <col min="2" max="2" width="14" style="2" customWidth="1"/>
    <col min="3" max="4" width="20.375" style="2" customWidth="1"/>
    <col min="5" max="5" width="16.375" style="2" customWidth="1"/>
    <col min="6" max="6" width="15.25" style="2" customWidth="1"/>
    <col min="7" max="7" width="19.125" style="2" customWidth="1"/>
    <col min="8" max="8" width="19" style="2" customWidth="1"/>
    <col min="9" max="9" width="18.875" style="2" customWidth="1"/>
    <col min="10" max="10" width="17.375" style="2" customWidth="1"/>
    <col min="11" max="11" width="15.625" style="2" customWidth="1"/>
    <col min="12" max="12" width="10.625" style="2" customWidth="1"/>
    <col min="13" max="13" width="25.25" style="2" customWidth="1"/>
    <col min="14" max="14" width="10" style="2" customWidth="1"/>
    <col min="15" max="16384" width="9.875" style="2"/>
  </cols>
  <sheetData>
    <row r="1" spans="1:13" ht="45.2" customHeight="1">
      <c r="A1" s="134" t="s">
        <v>51</v>
      </c>
      <c r="B1" s="96"/>
      <c r="C1" s="96"/>
      <c r="D1" s="96"/>
      <c r="E1" s="96"/>
      <c r="F1" s="96"/>
      <c r="G1" s="96"/>
      <c r="H1" s="96"/>
      <c r="I1" s="96"/>
      <c r="J1" s="96"/>
      <c r="K1" s="96"/>
      <c r="L1" s="96"/>
      <c r="M1" s="97"/>
    </row>
    <row r="2" spans="1:13" ht="20.100000000000001" customHeight="1">
      <c r="A2" s="122" t="s">
        <v>52</v>
      </c>
      <c r="B2" s="4" t="s">
        <v>0</v>
      </c>
      <c r="C2" s="98">
        <v>150000</v>
      </c>
      <c r="D2" s="99"/>
      <c r="E2" s="100"/>
      <c r="F2" s="4" t="s">
        <v>1</v>
      </c>
      <c r="G2" s="98" t="s">
        <v>2</v>
      </c>
      <c r="H2" s="100"/>
      <c r="I2" s="4" t="s">
        <v>3</v>
      </c>
      <c r="J2" s="101" t="s">
        <v>53</v>
      </c>
      <c r="K2" s="101"/>
      <c r="L2" s="4" t="s">
        <v>4</v>
      </c>
      <c r="M2" s="6" t="s">
        <v>5</v>
      </c>
    </row>
    <row r="3" spans="1:13" ht="20.100000000000001" customHeight="1">
      <c r="A3" s="123"/>
      <c r="B3" s="7" t="s">
        <v>6</v>
      </c>
      <c r="C3" s="102">
        <v>74550000</v>
      </c>
      <c r="D3" s="103"/>
      <c r="E3" s="104"/>
      <c r="F3" s="7" t="s">
        <v>7</v>
      </c>
      <c r="G3" s="102" t="s">
        <v>8</v>
      </c>
      <c r="H3" s="104"/>
      <c r="I3" s="7" t="s">
        <v>9</v>
      </c>
      <c r="J3" s="105" t="s">
        <v>40</v>
      </c>
      <c r="K3" s="105"/>
      <c r="L3" s="7" t="s">
        <v>10</v>
      </c>
      <c r="M3" s="9" t="s">
        <v>11</v>
      </c>
    </row>
    <row r="4" spans="1:13" ht="20.100000000000001" customHeight="1">
      <c r="A4" s="123"/>
      <c r="B4" s="7" t="s">
        <v>12</v>
      </c>
      <c r="C4" s="135"/>
      <c r="D4" s="136"/>
      <c r="E4" s="137"/>
      <c r="F4" s="7" t="s">
        <v>13</v>
      </c>
      <c r="G4" s="138">
        <f>C3*0</f>
        <v>0</v>
      </c>
      <c r="H4" s="139"/>
      <c r="I4" s="7" t="s">
        <v>14</v>
      </c>
      <c r="J4" s="102"/>
      <c r="K4" s="103"/>
      <c r="L4" s="103"/>
      <c r="M4" s="109"/>
    </row>
    <row r="5" spans="1:13" ht="20.100000000000001" customHeight="1">
      <c r="A5" s="123"/>
      <c r="B5" s="7" t="s">
        <v>15</v>
      </c>
      <c r="C5" s="102" t="s">
        <v>54</v>
      </c>
      <c r="D5" s="103"/>
      <c r="E5" s="103"/>
      <c r="F5" s="103"/>
      <c r="G5" s="104"/>
      <c r="H5" s="7" t="s">
        <v>16</v>
      </c>
      <c r="I5" s="105" t="s">
        <v>55</v>
      </c>
      <c r="J5" s="105"/>
      <c r="K5" s="105"/>
      <c r="L5" s="105"/>
      <c r="M5" s="110"/>
    </row>
    <row r="6" spans="1:13" ht="39.950000000000003" customHeight="1">
      <c r="A6" s="123"/>
      <c r="B6" s="7" t="s">
        <v>17</v>
      </c>
      <c r="C6" s="111" t="s">
        <v>56</v>
      </c>
      <c r="D6" s="112"/>
      <c r="E6" s="112"/>
      <c r="F6" s="112"/>
      <c r="G6" s="112"/>
      <c r="H6" s="112"/>
      <c r="I6" s="112"/>
      <c r="J6" s="112"/>
      <c r="K6" s="112"/>
      <c r="L6" s="112"/>
      <c r="M6" s="113"/>
    </row>
    <row r="7" spans="1:13" ht="63.75" customHeight="1">
      <c r="A7" s="124"/>
      <c r="B7" s="11" t="s">
        <v>18</v>
      </c>
      <c r="C7" s="114" t="s">
        <v>57</v>
      </c>
      <c r="D7" s="115"/>
      <c r="E7" s="115"/>
      <c r="F7" s="116"/>
      <c r="G7" s="116"/>
      <c r="H7" s="115"/>
      <c r="I7" s="115"/>
      <c r="J7" s="115"/>
      <c r="K7" s="115"/>
      <c r="L7" s="115"/>
      <c r="M7" s="117"/>
    </row>
    <row r="8" spans="1:13" ht="48.75" customHeight="1">
      <c r="A8" s="12" t="s">
        <v>19</v>
      </c>
      <c r="B8" s="12" t="s">
        <v>0</v>
      </c>
      <c r="C8" s="12" t="s">
        <v>20</v>
      </c>
      <c r="D8" s="12" t="s">
        <v>21</v>
      </c>
      <c r="E8" s="12" t="s">
        <v>22</v>
      </c>
      <c r="F8" s="13" t="s">
        <v>23</v>
      </c>
      <c r="G8" s="13" t="s">
        <v>24</v>
      </c>
      <c r="H8" s="14" t="s">
        <v>25</v>
      </c>
      <c r="I8" s="15" t="s">
        <v>26</v>
      </c>
      <c r="J8" s="16" t="s">
        <v>27</v>
      </c>
      <c r="K8" s="17" t="s">
        <v>28</v>
      </c>
      <c r="L8" s="12" t="s">
        <v>29</v>
      </c>
      <c r="M8" s="12" t="s">
        <v>29</v>
      </c>
    </row>
    <row r="9" spans="1:13" ht="20.100000000000001" customHeight="1">
      <c r="A9" s="18">
        <v>44860</v>
      </c>
      <c r="B9" s="19">
        <v>1632.16</v>
      </c>
      <c r="C9" s="20">
        <v>644703.19999999995</v>
      </c>
      <c r="D9" s="125"/>
      <c r="E9" s="22">
        <v>0.7</v>
      </c>
      <c r="F9" s="21">
        <v>44891</v>
      </c>
      <c r="G9" s="23">
        <f>E9*C9</f>
        <v>451292.24</v>
      </c>
      <c r="H9" s="24">
        <v>44560</v>
      </c>
      <c r="I9" s="23">
        <v>1659342.048</v>
      </c>
      <c r="J9" s="25">
        <f>H9-F9</f>
        <v>-331</v>
      </c>
      <c r="K9" s="26">
        <f>G9*0.0435/356*J9</f>
        <v>-18252.616060786499</v>
      </c>
      <c r="L9" s="27"/>
      <c r="M9" s="25"/>
    </row>
    <row r="10" spans="1:13" ht="20.100000000000001" customHeight="1">
      <c r="A10" s="18"/>
      <c r="B10" s="28"/>
      <c r="C10" s="29"/>
      <c r="D10" s="126"/>
      <c r="E10" s="22">
        <v>0.25</v>
      </c>
      <c r="F10" s="21">
        <v>44587</v>
      </c>
      <c r="G10" s="23">
        <f>E10*C9</f>
        <v>161175.79999999999</v>
      </c>
      <c r="H10" s="24"/>
      <c r="I10" s="23"/>
      <c r="J10" s="25">
        <f>H10-F10</f>
        <v>-44587</v>
      </c>
      <c r="K10" s="26">
        <f>G10*0.0435/356*J10</f>
        <v>-878106.81085702195</v>
      </c>
      <c r="L10" s="27"/>
      <c r="M10" s="25"/>
    </row>
    <row r="11" spans="1:13" ht="20.100000000000001" customHeight="1">
      <c r="A11" s="18"/>
      <c r="B11" s="19"/>
      <c r="C11" s="20"/>
      <c r="D11" s="30"/>
      <c r="E11" s="22">
        <v>0.05</v>
      </c>
      <c r="F11" s="21">
        <v>45042</v>
      </c>
      <c r="G11" s="23">
        <f>E11*C9</f>
        <v>32235.16</v>
      </c>
      <c r="H11" s="24"/>
      <c r="I11" s="23"/>
      <c r="J11" s="25"/>
      <c r="K11" s="26"/>
      <c r="L11" s="31"/>
      <c r="M11" s="25"/>
    </row>
    <row r="12" spans="1:13" ht="20.100000000000001" customHeight="1">
      <c r="A12" s="18">
        <v>44938</v>
      </c>
      <c r="B12" s="19">
        <v>1880</v>
      </c>
      <c r="C12" s="20">
        <v>742600</v>
      </c>
      <c r="D12" s="125"/>
      <c r="E12" s="32">
        <v>0.7</v>
      </c>
      <c r="F12" s="21">
        <v>44969</v>
      </c>
      <c r="G12" s="23">
        <f>E12*C12</f>
        <v>519820</v>
      </c>
      <c r="H12" s="24">
        <v>44560</v>
      </c>
      <c r="I12" s="23">
        <f>3700000-I9</f>
        <v>2040657.952</v>
      </c>
      <c r="J12" s="25">
        <f>H12-F12</f>
        <v>-409</v>
      </c>
      <c r="K12" s="26">
        <f>G12*0.0435/356*J12</f>
        <v>-25978.5885674157</v>
      </c>
      <c r="L12" s="31"/>
      <c r="M12" s="25"/>
    </row>
    <row r="13" spans="1:13" ht="20.100000000000001" customHeight="1">
      <c r="A13" s="18"/>
      <c r="B13" s="19"/>
      <c r="C13" s="20"/>
      <c r="D13" s="126"/>
      <c r="E13" s="32">
        <v>0.25</v>
      </c>
      <c r="F13" s="21">
        <v>45028</v>
      </c>
      <c r="G13" s="23">
        <f>E13*C12</f>
        <v>185650</v>
      </c>
      <c r="H13" s="24"/>
      <c r="I13" s="23"/>
      <c r="J13" s="25"/>
      <c r="K13" s="26"/>
      <c r="L13" s="31"/>
      <c r="M13" s="33"/>
    </row>
    <row r="14" spans="1:13" ht="20.100000000000001" customHeight="1">
      <c r="A14" s="18"/>
      <c r="B14" s="19"/>
      <c r="C14" s="20"/>
      <c r="D14" s="126"/>
      <c r="E14" s="32">
        <v>0.05</v>
      </c>
      <c r="F14" s="21">
        <v>45119</v>
      </c>
      <c r="G14" s="23">
        <f>E14*C12</f>
        <v>37130</v>
      </c>
      <c r="H14" s="24">
        <v>44560</v>
      </c>
      <c r="I14" s="23">
        <f>G14</f>
        <v>37130</v>
      </c>
      <c r="J14" s="25"/>
      <c r="K14" s="26"/>
      <c r="L14" s="31"/>
      <c r="M14" s="33"/>
    </row>
    <row r="15" spans="1:13" ht="20.100000000000001" customHeight="1">
      <c r="A15" s="18">
        <v>44374</v>
      </c>
      <c r="B15" s="20">
        <v>5695.04</v>
      </c>
      <c r="C15" s="19">
        <v>2010349.12</v>
      </c>
      <c r="D15" s="125"/>
      <c r="E15" s="34">
        <v>0.95</v>
      </c>
      <c r="F15" s="21">
        <v>44496</v>
      </c>
      <c r="G15" s="35">
        <f>C15*0.95</f>
        <v>1909831.6640000001</v>
      </c>
      <c r="H15" s="24">
        <v>44560</v>
      </c>
      <c r="I15" s="35">
        <f>G15</f>
        <v>1909831.6640000001</v>
      </c>
      <c r="J15" s="25">
        <f>H15-F15</f>
        <v>64</v>
      </c>
      <c r="K15" s="26">
        <f>G15*0.0435/356*J15</f>
        <v>14935.312788134799</v>
      </c>
      <c r="L15" s="31"/>
      <c r="M15" s="36"/>
    </row>
    <row r="16" spans="1:13" ht="20.100000000000001" customHeight="1">
      <c r="A16" s="18"/>
      <c r="B16" s="19"/>
      <c r="C16" s="19"/>
      <c r="D16" s="126"/>
      <c r="E16" s="22">
        <v>0.05</v>
      </c>
      <c r="F16" s="21">
        <v>44931</v>
      </c>
      <c r="G16" s="35">
        <f>C15*0.05</f>
        <v>100517.45600000001</v>
      </c>
      <c r="H16" s="24"/>
      <c r="I16" s="35"/>
      <c r="J16" s="25">
        <f>H16-F16</f>
        <v>-44931</v>
      </c>
      <c r="K16" s="26">
        <f>G16*0.0435/356*J16</f>
        <v>-551857.35105566296</v>
      </c>
      <c r="L16" s="31"/>
      <c r="M16" s="36"/>
    </row>
    <row r="17" spans="1:13" ht="20.100000000000001" customHeight="1">
      <c r="A17" s="18">
        <v>44405</v>
      </c>
      <c r="B17" s="37">
        <v>9358.14</v>
      </c>
      <c r="C17" s="38">
        <v>3303423.42</v>
      </c>
      <c r="D17" s="125"/>
      <c r="E17" s="143">
        <v>0.95</v>
      </c>
      <c r="F17" s="21">
        <v>44528</v>
      </c>
      <c r="G17" s="35">
        <f>I17</f>
        <v>2553038.3360000001</v>
      </c>
      <c r="H17" s="24">
        <v>44560</v>
      </c>
      <c r="I17" s="35">
        <f>4500000-I15-I14</f>
        <v>2553038.3360000001</v>
      </c>
      <c r="J17" s="25">
        <f>H17-F17</f>
        <v>32</v>
      </c>
      <c r="K17" s="26">
        <f>G17*0.0435/356*J17</f>
        <v>9982.6667519999992</v>
      </c>
      <c r="L17" s="39"/>
      <c r="M17" s="36"/>
    </row>
    <row r="18" spans="1:13" ht="20.100000000000001" customHeight="1">
      <c r="A18" s="18"/>
      <c r="B18" s="37"/>
      <c r="C18" s="38"/>
      <c r="D18" s="126"/>
      <c r="E18" s="144"/>
      <c r="F18" s="21">
        <v>44528</v>
      </c>
      <c r="G18" s="35">
        <f>C17*0.95-G17</f>
        <v>585213.91299999994</v>
      </c>
      <c r="H18" s="24">
        <v>44591</v>
      </c>
      <c r="I18" s="35">
        <f>G18</f>
        <v>585213.91299999994</v>
      </c>
      <c r="J18" s="25"/>
      <c r="K18" s="26"/>
      <c r="L18" s="39"/>
      <c r="M18" s="36"/>
    </row>
    <row r="19" spans="1:13" ht="20.100000000000001" customHeight="1">
      <c r="A19" s="18"/>
      <c r="B19" s="1"/>
      <c r="C19" s="1"/>
      <c r="D19" s="126"/>
      <c r="E19" s="22">
        <v>0.05</v>
      </c>
      <c r="F19" s="21">
        <v>44931</v>
      </c>
      <c r="G19" s="23">
        <f>C17*0.05</f>
        <v>165171.171</v>
      </c>
      <c r="H19" s="24"/>
      <c r="I19" s="35"/>
      <c r="J19" s="25">
        <f t="shared" ref="J19:J24" si="0">H19-F19</f>
        <v>-44931</v>
      </c>
      <c r="K19" s="26">
        <f t="shared" ref="K19:K24" si="1">G19*0.0435/356*J19</f>
        <v>-906816.87068186398</v>
      </c>
      <c r="L19" s="39"/>
      <c r="M19" s="36"/>
    </row>
    <row r="20" spans="1:13" ht="20.100000000000001" customHeight="1">
      <c r="A20" s="40">
        <v>44428</v>
      </c>
      <c r="B20" s="1"/>
      <c r="C20" s="38">
        <v>37755.24</v>
      </c>
      <c r="D20" s="125"/>
      <c r="E20" s="34">
        <v>0.95</v>
      </c>
      <c r="F20" s="21">
        <v>44550</v>
      </c>
      <c r="G20" s="23">
        <f>C20*0.95</f>
        <v>35867.478000000003</v>
      </c>
      <c r="H20" s="24">
        <v>44591</v>
      </c>
      <c r="I20" s="35">
        <f>G20</f>
        <v>35867.478000000003</v>
      </c>
      <c r="J20" s="25">
        <f t="shared" si="0"/>
        <v>41</v>
      </c>
      <c r="K20" s="26">
        <f t="shared" si="1"/>
        <v>179.69001969943801</v>
      </c>
      <c r="L20" s="39"/>
      <c r="M20" s="36" t="s">
        <v>58</v>
      </c>
    </row>
    <row r="21" spans="1:13" ht="20.100000000000001" customHeight="1">
      <c r="A21" s="40"/>
      <c r="B21" s="1"/>
      <c r="C21" s="1"/>
      <c r="D21" s="126"/>
      <c r="E21" s="22">
        <v>0.05</v>
      </c>
      <c r="F21" s="21">
        <v>44931</v>
      </c>
      <c r="G21" s="23">
        <f>C20*0.05</f>
        <v>1887.7619999999999</v>
      </c>
      <c r="H21" s="24"/>
      <c r="I21" s="35"/>
      <c r="J21" s="25">
        <f t="shared" si="0"/>
        <v>-44931</v>
      </c>
      <c r="K21" s="26">
        <f t="shared" si="1"/>
        <v>-10364.1235880815</v>
      </c>
      <c r="L21" s="39"/>
      <c r="M21" s="36"/>
    </row>
    <row r="22" spans="1:13" ht="20.100000000000001" customHeight="1">
      <c r="A22" s="40">
        <v>44428</v>
      </c>
      <c r="B22" s="37">
        <v>6270.8</v>
      </c>
      <c r="C22" s="38">
        <v>2239225</v>
      </c>
      <c r="D22" s="125"/>
      <c r="E22" s="22">
        <v>0.95</v>
      </c>
      <c r="F22" s="21">
        <v>44550</v>
      </c>
      <c r="G22" s="23">
        <f>C22*0.95</f>
        <v>2127263.75</v>
      </c>
      <c r="H22" s="24">
        <v>44591</v>
      </c>
      <c r="I22" s="35">
        <f>G22</f>
        <v>2127263.75</v>
      </c>
      <c r="J22" s="25">
        <f t="shared" si="0"/>
        <v>41</v>
      </c>
      <c r="K22" s="26">
        <f t="shared" si="1"/>
        <v>10657.2328599017</v>
      </c>
      <c r="L22" s="39"/>
      <c r="M22" s="36"/>
    </row>
    <row r="23" spans="1:13" ht="20.100000000000001" customHeight="1">
      <c r="A23" s="41"/>
      <c r="B23" s="42"/>
      <c r="C23" s="43"/>
      <c r="D23" s="140"/>
      <c r="E23" s="34">
        <v>0.05</v>
      </c>
      <c r="F23" s="21">
        <v>44931</v>
      </c>
      <c r="G23" s="23">
        <f>C22*0.05</f>
        <v>111961.25</v>
      </c>
      <c r="H23" s="24"/>
      <c r="I23" s="35"/>
      <c r="J23" s="25">
        <f t="shared" si="0"/>
        <v>-44931</v>
      </c>
      <c r="K23" s="26">
        <f t="shared" si="1"/>
        <v>-614685.66062675603</v>
      </c>
      <c r="L23" s="39"/>
      <c r="M23" s="36"/>
    </row>
    <row r="24" spans="1:13" ht="20.100000000000001" customHeight="1">
      <c r="A24" s="40">
        <v>44462</v>
      </c>
      <c r="B24" s="37">
        <v>10358.58</v>
      </c>
      <c r="C24" s="38">
        <v>3634404.12</v>
      </c>
      <c r="D24" s="125"/>
      <c r="E24" s="22">
        <v>0.95</v>
      </c>
      <c r="F24" s="21">
        <v>44584</v>
      </c>
      <c r="G24" s="23">
        <f>I24</f>
        <v>1951654.8589999999</v>
      </c>
      <c r="H24" s="24">
        <v>44591</v>
      </c>
      <c r="I24" s="35">
        <f>4700000-I22-I20-I18</f>
        <v>1951654.8589999999</v>
      </c>
      <c r="J24" s="25">
        <f t="shared" si="0"/>
        <v>7</v>
      </c>
      <c r="K24" s="26">
        <f t="shared" si="1"/>
        <v>1669.32276563343</v>
      </c>
      <c r="L24" s="39"/>
      <c r="M24" s="36"/>
    </row>
    <row r="25" spans="1:13" ht="20.100000000000001" customHeight="1">
      <c r="A25" s="40"/>
      <c r="B25" s="37"/>
      <c r="C25" s="38"/>
      <c r="D25" s="126"/>
      <c r="E25" s="22"/>
      <c r="F25" s="21">
        <v>44584</v>
      </c>
      <c r="G25" s="44">
        <f>C24*0.95-G24</f>
        <v>1501029.0549999999</v>
      </c>
      <c r="H25" s="24"/>
      <c r="I25" s="35"/>
      <c r="J25" s="25"/>
      <c r="K25" s="26"/>
      <c r="L25" s="39"/>
      <c r="M25" s="36"/>
    </row>
    <row r="26" spans="1:13" ht="20.100000000000001" customHeight="1">
      <c r="A26" s="41"/>
      <c r="B26" s="42"/>
      <c r="C26" s="43"/>
      <c r="D26" s="140"/>
      <c r="E26" s="22">
        <v>0.05</v>
      </c>
      <c r="F26" s="21">
        <v>44931</v>
      </c>
      <c r="G26" s="23">
        <f>C24*0.05</f>
        <v>181720.20600000001</v>
      </c>
      <c r="H26" s="24"/>
      <c r="I26" s="35"/>
      <c r="J26" s="25">
        <f>H26-F26</f>
        <v>-44931</v>
      </c>
      <c r="K26" s="26">
        <f>G26*0.0435/356*J26</f>
        <v>-997673.79226598598</v>
      </c>
      <c r="L26" s="39"/>
      <c r="M26" s="36"/>
    </row>
    <row r="27" spans="1:13" ht="20.100000000000001" customHeight="1">
      <c r="A27" s="40">
        <v>44494</v>
      </c>
      <c r="B27" s="37">
        <v>3824.56</v>
      </c>
      <c r="C27" s="38">
        <v>1429682.66</v>
      </c>
      <c r="D27" s="125"/>
      <c r="E27" s="22">
        <v>0.95</v>
      </c>
      <c r="F27" s="24">
        <v>44252</v>
      </c>
      <c r="G27" s="45">
        <f>C27*0.95</f>
        <v>1358198.527</v>
      </c>
      <c r="H27" s="24"/>
      <c r="I27" s="35"/>
      <c r="J27" s="25">
        <f>H27-F27</f>
        <v>-44252</v>
      </c>
      <c r="K27" s="26">
        <f>G27*0.0435/356*J27</f>
        <v>-7344046.4969971199</v>
      </c>
      <c r="L27" s="39"/>
      <c r="M27" s="36"/>
    </row>
    <row r="28" spans="1:13" ht="20.100000000000001" customHeight="1">
      <c r="A28" s="18"/>
      <c r="B28" s="28"/>
      <c r="C28" s="29"/>
      <c r="D28" s="140"/>
      <c r="E28" s="22">
        <v>0.05</v>
      </c>
      <c r="F28" s="21">
        <v>44931</v>
      </c>
      <c r="G28" s="39">
        <f>C27*0.05</f>
        <v>71484.133000000002</v>
      </c>
      <c r="H28" s="24"/>
      <c r="I28" s="35"/>
      <c r="J28" s="25">
        <f>H28-F28</f>
        <v>-44931</v>
      </c>
      <c r="K28" s="26">
        <f>G28*0.0435/356*J28</f>
        <v>-392459.63686039502</v>
      </c>
      <c r="L28" s="39"/>
      <c r="M28" s="36"/>
    </row>
    <row r="29" spans="1:13" ht="20.100000000000001" customHeight="1">
      <c r="A29" s="40">
        <v>44526</v>
      </c>
      <c r="B29" s="37">
        <v>10972.4</v>
      </c>
      <c r="C29" s="38">
        <v>5287241.8600000003</v>
      </c>
      <c r="D29" s="126"/>
      <c r="E29" s="22">
        <v>0.95</v>
      </c>
      <c r="F29" s="24">
        <v>44646</v>
      </c>
      <c r="G29" s="45">
        <f>C29*0.95</f>
        <v>5022879.767</v>
      </c>
      <c r="H29" s="24"/>
      <c r="I29" s="35"/>
      <c r="J29" s="25"/>
      <c r="K29" s="26"/>
      <c r="L29" s="39"/>
      <c r="M29" s="36"/>
    </row>
    <row r="30" spans="1:13" ht="20.100000000000001" customHeight="1">
      <c r="A30" s="18"/>
      <c r="B30" s="37"/>
      <c r="C30" s="38"/>
      <c r="D30" s="126"/>
      <c r="E30" s="22">
        <v>0.05</v>
      </c>
      <c r="F30" s="21">
        <v>44931</v>
      </c>
      <c r="G30" s="39">
        <f>C29*0.05</f>
        <v>264362.09299999999</v>
      </c>
      <c r="H30" s="24"/>
      <c r="I30" s="39"/>
      <c r="J30" s="25"/>
      <c r="K30" s="26"/>
      <c r="L30" s="39"/>
      <c r="M30" s="36"/>
    </row>
    <row r="31" spans="1:13" ht="20.100000000000001" customHeight="1">
      <c r="A31" s="18">
        <v>44554</v>
      </c>
      <c r="B31" s="37">
        <v>5463.14</v>
      </c>
      <c r="C31" s="38">
        <v>2702253.76</v>
      </c>
      <c r="D31" s="125"/>
      <c r="E31" s="34">
        <v>0.95</v>
      </c>
      <c r="F31" s="24">
        <v>44646</v>
      </c>
      <c r="G31" s="45">
        <f>C31*0.95</f>
        <v>2567141.0720000002</v>
      </c>
      <c r="H31" s="24"/>
      <c r="I31" s="39"/>
      <c r="J31" s="25">
        <f>H31-F31</f>
        <v>-44646</v>
      </c>
      <c r="K31" s="26">
        <f>G31*0.0435/356*J31</f>
        <v>-14004627.0872817</v>
      </c>
      <c r="L31" s="39"/>
      <c r="M31" s="36"/>
    </row>
    <row r="32" spans="1:13" ht="20.100000000000001" customHeight="1">
      <c r="A32" s="18"/>
      <c r="B32" s="1"/>
      <c r="C32" s="1"/>
      <c r="D32" s="140"/>
      <c r="E32" s="22">
        <v>0.05</v>
      </c>
      <c r="F32" s="21">
        <v>44931</v>
      </c>
      <c r="G32" s="39">
        <f>C31*0.05</f>
        <v>135112.68799999999</v>
      </c>
      <c r="H32" s="24"/>
      <c r="I32" s="35"/>
      <c r="J32" s="25">
        <f>H32-F32</f>
        <v>-44931</v>
      </c>
      <c r="K32" s="26">
        <f>G32*0.0435/356*J32</f>
        <v>-741790.85962631402</v>
      </c>
      <c r="L32" s="39"/>
      <c r="M32" s="36"/>
    </row>
    <row r="33" spans="1:13" s="3" customFormat="1" ht="20.100000000000001" customHeight="1">
      <c r="A33" s="18">
        <v>44701</v>
      </c>
      <c r="B33" s="1">
        <v>1652.34</v>
      </c>
      <c r="C33" s="38">
        <v>802670.4</v>
      </c>
      <c r="D33" s="125"/>
      <c r="E33" s="22">
        <v>0.95</v>
      </c>
      <c r="F33" s="24">
        <v>44824</v>
      </c>
      <c r="G33" s="39">
        <f>C33*0.95</f>
        <v>762536.88</v>
      </c>
      <c r="H33" s="24"/>
      <c r="I33" s="46"/>
      <c r="J33" s="25">
        <f>H33-F33</f>
        <v>-44824</v>
      </c>
      <c r="K33" s="26">
        <f>G33*0.0435/356*J33</f>
        <v>-4176483.0344008999</v>
      </c>
      <c r="L33" s="39"/>
      <c r="M33" s="47"/>
    </row>
    <row r="34" spans="1:13" ht="20.100000000000001" customHeight="1">
      <c r="A34" s="48"/>
      <c r="B34" s="49"/>
      <c r="C34" s="50"/>
      <c r="D34" s="126"/>
      <c r="E34" s="22">
        <v>0.05</v>
      </c>
      <c r="F34" s="21">
        <v>44931</v>
      </c>
      <c r="G34" s="51">
        <f>C33-G33</f>
        <v>40133.519999999997</v>
      </c>
      <c r="H34" s="24"/>
      <c r="I34" s="52"/>
      <c r="J34" s="25">
        <f>H34-F34</f>
        <v>-44931</v>
      </c>
      <c r="K34" s="26">
        <f>G34*0.0435/356*J34</f>
        <v>-220339.619774494</v>
      </c>
      <c r="L34" s="39"/>
      <c r="M34" s="36"/>
    </row>
    <row r="35" spans="1:13" ht="20.100000000000001" customHeight="1">
      <c r="A35" s="18">
        <v>44732</v>
      </c>
      <c r="B35" s="28">
        <v>9432.14</v>
      </c>
      <c r="C35" s="53">
        <v>4531425.5</v>
      </c>
      <c r="D35" s="141"/>
      <c r="E35" s="22">
        <v>0.95</v>
      </c>
      <c r="F35" s="18">
        <v>44854</v>
      </c>
      <c r="G35" s="54">
        <f>C35*0.95</f>
        <v>4304854.2249999996</v>
      </c>
      <c r="H35" s="55"/>
      <c r="I35" s="46"/>
      <c r="J35" s="46"/>
      <c r="K35" s="26"/>
      <c r="L35" s="56"/>
      <c r="M35" s="36"/>
    </row>
    <row r="36" spans="1:13" ht="20.100000000000001" customHeight="1">
      <c r="A36" s="57"/>
      <c r="B36" s="28"/>
      <c r="C36" s="53"/>
      <c r="D36" s="142"/>
      <c r="E36" s="22">
        <v>0.05</v>
      </c>
      <c r="F36" s="21">
        <v>44931</v>
      </c>
      <c r="G36" s="54">
        <f>C35-G35</f>
        <v>226571.27499999999</v>
      </c>
      <c r="H36" s="55"/>
      <c r="I36" s="46"/>
      <c r="J36" s="46"/>
      <c r="K36" s="26"/>
      <c r="L36" s="56"/>
      <c r="M36" s="36"/>
    </row>
    <row r="37" spans="1:13" ht="20.100000000000001" customHeight="1">
      <c r="A37" s="18">
        <v>44762</v>
      </c>
      <c r="B37" s="28">
        <v>7080.32</v>
      </c>
      <c r="C37" s="53">
        <v>3385223.1</v>
      </c>
      <c r="D37" s="141"/>
      <c r="E37" s="22">
        <v>0.95</v>
      </c>
      <c r="F37" s="18">
        <v>44885</v>
      </c>
      <c r="G37" s="58">
        <f>C37*0.95</f>
        <v>3215961.9449999998</v>
      </c>
      <c r="H37" s="55"/>
      <c r="I37" s="46"/>
      <c r="J37" s="46"/>
      <c r="K37" s="26"/>
      <c r="L37" s="56"/>
      <c r="M37" s="36"/>
    </row>
    <row r="38" spans="1:13" ht="20.100000000000001" customHeight="1">
      <c r="A38" s="57"/>
      <c r="B38" s="28"/>
      <c r="C38" s="53"/>
      <c r="D38" s="142"/>
      <c r="E38" s="22">
        <v>0.05</v>
      </c>
      <c r="F38" s="21">
        <v>44931</v>
      </c>
      <c r="G38" s="58">
        <f>C37-G37</f>
        <v>169261.155</v>
      </c>
      <c r="H38" s="55"/>
      <c r="I38" s="46"/>
      <c r="J38" s="46"/>
      <c r="K38" s="26"/>
      <c r="L38" s="56"/>
      <c r="M38" s="36"/>
    </row>
    <row r="39" spans="1:13" ht="20.100000000000001" customHeight="1">
      <c r="A39" s="57"/>
      <c r="B39" s="28"/>
      <c r="C39" s="53"/>
      <c r="D39" s="53"/>
      <c r="E39" s="59"/>
      <c r="F39" s="60"/>
      <c r="G39" s="61"/>
      <c r="H39" s="55"/>
      <c r="I39" s="46"/>
      <c r="J39" s="46"/>
      <c r="K39" s="26"/>
      <c r="L39" s="56"/>
      <c r="M39" s="36"/>
    </row>
    <row r="40" spans="1:13" ht="20.100000000000001" customHeight="1">
      <c r="A40" s="57"/>
      <c r="B40" s="28"/>
      <c r="C40" s="53"/>
      <c r="D40" s="53"/>
      <c r="E40" s="59"/>
      <c r="F40" s="60"/>
      <c r="G40" s="61"/>
      <c r="H40" s="55"/>
      <c r="I40" s="46"/>
      <c r="J40" s="46"/>
      <c r="K40" s="26"/>
      <c r="L40" s="56"/>
      <c r="M40" s="36"/>
    </row>
    <row r="41" spans="1:13" ht="20.100000000000001" customHeight="1">
      <c r="A41" s="62"/>
      <c r="B41" s="28"/>
      <c r="C41" s="23"/>
      <c r="D41" s="23"/>
      <c r="E41" s="60"/>
      <c r="F41" s="60"/>
      <c r="G41" s="61"/>
      <c r="H41" s="55"/>
      <c r="I41" s="46"/>
      <c r="J41" s="46"/>
      <c r="K41" s="26">
        <f>G41*0.0435/356*J41</f>
        <v>0</v>
      </c>
      <c r="L41" s="63"/>
      <c r="M41" s="36"/>
    </row>
    <row r="42" spans="1:13" ht="20.100000000000001" customHeight="1">
      <c r="A42" s="62"/>
      <c r="B42" s="28"/>
      <c r="C42" s="23"/>
      <c r="D42" s="23"/>
      <c r="E42" s="60"/>
      <c r="F42" s="60"/>
      <c r="G42" s="55"/>
      <c r="H42" s="55"/>
      <c r="I42" s="46"/>
      <c r="J42" s="46"/>
      <c r="K42" s="27"/>
      <c r="L42" s="63"/>
      <c r="M42" s="36"/>
    </row>
    <row r="43" spans="1:13" ht="20.100000000000001" customHeight="1">
      <c r="A43" s="62"/>
      <c r="B43" s="28"/>
      <c r="C43" s="23"/>
      <c r="D43" s="23"/>
      <c r="E43" s="60"/>
      <c r="F43" s="60"/>
      <c r="G43" s="55"/>
      <c r="H43" s="55"/>
      <c r="I43" s="46"/>
      <c r="J43" s="46"/>
      <c r="K43" s="27"/>
      <c r="L43" s="63"/>
      <c r="M43" s="64"/>
    </row>
    <row r="44" spans="1:13" ht="20.100000000000001" customHeight="1">
      <c r="A44" s="65" t="s">
        <v>30</v>
      </c>
      <c r="B44" s="46">
        <f>SUM(B9:B43)</f>
        <v>73619.62</v>
      </c>
      <c r="C44" s="66">
        <f>SUM(C9:C43)</f>
        <v>30750957.379999999</v>
      </c>
      <c r="D44" s="66"/>
      <c r="E44" s="66"/>
      <c r="F44" s="66"/>
      <c r="G44" s="66"/>
      <c r="H44" s="55"/>
      <c r="I44" s="66"/>
      <c r="J44" s="67"/>
      <c r="K44" s="12"/>
      <c r="L44" s="68"/>
      <c r="M44" s="64"/>
    </row>
    <row r="45" spans="1:13" ht="20.100000000000001" customHeight="1">
      <c r="A45" s="118" t="s">
        <v>31</v>
      </c>
      <c r="B45" s="119"/>
      <c r="C45" s="66">
        <f>C46-I45</f>
        <v>17850957.379999999</v>
      </c>
      <c r="D45" s="66"/>
      <c r="E45" s="66"/>
      <c r="F45" s="66"/>
      <c r="G45" s="66">
        <f>C44-I45</f>
        <v>17850957.379999999</v>
      </c>
      <c r="H45" s="66"/>
      <c r="I45" s="66">
        <f>SUM(I9:I44)</f>
        <v>12900000</v>
      </c>
      <c r="J45" s="67"/>
      <c r="K45" s="12"/>
      <c r="L45" s="68"/>
      <c r="M45" s="69">
        <f>SUM(M9:M44)</f>
        <v>0</v>
      </c>
    </row>
    <row r="46" spans="1:13" ht="20.100000000000001" customHeight="1">
      <c r="A46" s="120" t="s">
        <v>32</v>
      </c>
      <c r="B46" s="121"/>
      <c r="C46" s="70">
        <f>SUM(C9:C43)</f>
        <v>30750957.379999999</v>
      </c>
      <c r="D46" s="70"/>
      <c r="E46" s="71"/>
      <c r="F46" s="71"/>
      <c r="G46" s="72" t="s">
        <v>33</v>
      </c>
      <c r="H46" s="73">
        <f>I45/C46</f>
        <v>0.41949913430630198</v>
      </c>
      <c r="I46" s="71"/>
      <c r="J46" s="74"/>
      <c r="K46" s="75"/>
      <c r="L46" s="76">
        <f>SUM(L9:L45)</f>
        <v>0</v>
      </c>
    </row>
  </sheetData>
  <mergeCells count="31">
    <mergeCell ref="D35:D36"/>
    <mergeCell ref="D37:D38"/>
    <mergeCell ref="E17:E18"/>
    <mergeCell ref="C6:M6"/>
    <mergeCell ref="C7:M7"/>
    <mergeCell ref="A45:B45"/>
    <mergeCell ref="A46:B46"/>
    <mergeCell ref="A2:A7"/>
    <mergeCell ref="D9:D10"/>
    <mergeCell ref="D12:D14"/>
    <mergeCell ref="D15:D16"/>
    <mergeCell ref="D17:D19"/>
    <mergeCell ref="D20:D21"/>
    <mergeCell ref="D22:D23"/>
    <mergeCell ref="D24:D26"/>
    <mergeCell ref="D27:D28"/>
    <mergeCell ref="D29:D30"/>
    <mergeCell ref="D31:D32"/>
    <mergeCell ref="D33:D34"/>
    <mergeCell ref="C4:E4"/>
    <mergeCell ref="G4:H4"/>
    <mergeCell ref="J4:M4"/>
    <mergeCell ref="C5:G5"/>
    <mergeCell ref="I5:M5"/>
    <mergeCell ref="A1:M1"/>
    <mergeCell ref="C2:E2"/>
    <mergeCell ref="G2:H2"/>
    <mergeCell ref="J2:K2"/>
    <mergeCell ref="C3:E3"/>
    <mergeCell ref="G3:H3"/>
    <mergeCell ref="J3:K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D23"/>
  <sheetViews>
    <sheetView workbookViewId="0">
      <selection activeCell="R51" sqref="R51:R59"/>
    </sheetView>
  </sheetViews>
  <sheetFormatPr defaultColWidth="8.75" defaultRowHeight="13.5"/>
  <cols>
    <col min="2" max="2" width="24.75" customWidth="1"/>
    <col min="3" max="3" width="36.125" customWidth="1"/>
  </cols>
  <sheetData>
    <row r="1" spans="1:4">
      <c r="A1" s="1" t="s">
        <v>59</v>
      </c>
      <c r="B1" s="1" t="s">
        <v>60</v>
      </c>
      <c r="C1" s="1" t="s">
        <v>61</v>
      </c>
    </row>
    <row r="2" spans="1:4">
      <c r="A2" s="1" t="s">
        <v>62</v>
      </c>
      <c r="B2" s="1" t="s">
        <v>63</v>
      </c>
      <c r="C2" s="1">
        <v>0</v>
      </c>
      <c r="D2" t="s">
        <v>64</v>
      </c>
    </row>
    <row r="3" spans="1:4">
      <c r="A3" s="1" t="s">
        <v>65</v>
      </c>
      <c r="B3" s="1" t="s">
        <v>66</v>
      </c>
      <c r="C3" s="1" t="s">
        <v>67</v>
      </c>
      <c r="D3" t="s">
        <v>64</v>
      </c>
    </row>
    <row r="4" spans="1:4">
      <c r="A4" s="1"/>
      <c r="B4" s="1"/>
      <c r="C4" s="1"/>
    </row>
    <row r="5" spans="1:4">
      <c r="A5" s="1"/>
      <c r="B5" s="1"/>
      <c r="C5" s="1"/>
    </row>
    <row r="6" spans="1:4">
      <c r="A6" s="1"/>
      <c r="B6" s="1"/>
      <c r="C6" s="1"/>
    </row>
    <row r="7" spans="1:4">
      <c r="A7" s="1"/>
      <c r="B7" s="1"/>
      <c r="C7" s="1"/>
    </row>
    <row r="8" spans="1:4">
      <c r="A8" s="1"/>
      <c r="B8" s="1"/>
      <c r="C8" s="1"/>
    </row>
    <row r="9" spans="1:4">
      <c r="A9" s="1"/>
      <c r="B9" s="1"/>
      <c r="C9" s="1"/>
    </row>
    <row r="10" spans="1:4">
      <c r="A10" s="1"/>
      <c r="B10" s="1"/>
      <c r="C10" s="1"/>
    </row>
    <row r="11" spans="1:4">
      <c r="A11" s="1"/>
      <c r="B11" s="1"/>
      <c r="C11" s="1"/>
    </row>
    <row r="12" spans="1:4">
      <c r="A12" s="1"/>
      <c r="B12" s="1"/>
      <c r="C12" s="1"/>
    </row>
    <row r="13" spans="1:4">
      <c r="A13" s="1"/>
      <c r="B13" s="1"/>
      <c r="C13" s="1"/>
    </row>
    <row r="14" spans="1:4">
      <c r="A14" s="1"/>
      <c r="B14" s="1"/>
      <c r="C14" s="1"/>
    </row>
    <row r="15" spans="1:4">
      <c r="A15" s="1"/>
      <c r="B15" s="1"/>
      <c r="C15" s="1"/>
    </row>
    <row r="16" spans="1:4">
      <c r="A16" s="1"/>
      <c r="B16" s="1"/>
      <c r="C16" s="1"/>
    </row>
    <row r="17" spans="1:3">
      <c r="A17" s="1"/>
      <c r="B17" s="1"/>
      <c r="C17" s="1"/>
    </row>
    <row r="18" spans="1:3">
      <c r="A18" s="1"/>
      <c r="B18" s="1"/>
      <c r="C18" s="1"/>
    </row>
    <row r="19" spans="1:3">
      <c r="A19" s="1"/>
      <c r="B19" s="1"/>
      <c r="C19" s="1"/>
    </row>
    <row r="20" spans="1:3">
      <c r="A20" s="1"/>
      <c r="B20" s="1"/>
      <c r="C20" s="1"/>
    </row>
    <row r="21" spans="1:3">
      <c r="A21" s="1"/>
      <c r="B21" s="1"/>
      <c r="C21" s="1"/>
    </row>
    <row r="22" spans="1:3">
      <c r="A22" s="1"/>
      <c r="B22" s="1"/>
      <c r="C22" s="1"/>
    </row>
    <row r="23" spans="1:3">
      <c r="A23" s="1"/>
      <c r="B23" s="1"/>
      <c r="C23" s="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基础信息及资金占用（水泥）</vt:lpstr>
      <vt:lpstr>付款明细</vt:lpstr>
      <vt:lpstr>项目基础信息及资金占用</vt:lpstr>
      <vt:lpstr>基础信息及资金占用</vt:lpstr>
      <vt:lpstr>运费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依琳 小</cp:lastModifiedBy>
  <dcterms:created xsi:type="dcterms:W3CDTF">2021-03-08T02:13:00Z</dcterms:created>
  <dcterms:modified xsi:type="dcterms:W3CDTF">2026-04-09T15:29:40Z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KSOReadingLayout">
    <vt:bool>true</vt:bool>
  </property>
  <property fmtid="{D5CDD505-2E9C-101B-9397-08002B2CF9AE}" pid="4" name="ICV">
    <vt:lpwstr>464C14BDB8794A8292DFDE9AE6EDE8F2_13</vt:lpwstr>
  </property>
  <property fmtid="{D5CDD505-2E9C-101B-9397-08002B2CF9AE}" pid="5" name="CalculationRule">
    <vt:i4>0</vt:i4>
  </property>
</Properties>
</file>